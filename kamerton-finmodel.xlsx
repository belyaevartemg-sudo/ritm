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Вводные" sheetId="2" state="visible" r:id="rId4"/>
    <sheet name="3 года подробно" sheetId="3" state="visible" r:id="rId5"/>
    <sheet name="Функции" sheetId="4" state="visible" r:id="rId6"/>
    <sheet name="Разработка" sheetId="5" state="visible" r:id="rId7"/>
    <sheet name="OPEX" sheetId="6" state="visible" r:id="rId8"/>
    <sheet name="Маркетинг" sheetId="7" state="visible" r:id="rId9"/>
    <sheet name="Источники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10"/>
            <rFont val="Arial"/>
            <family val="2"/>
          </rPr>
          <t xml:space="preserve">Это минимум денег на счёте, чтобы не уйти в минус. На практике раунд берут с запасом 20–30%.</t>
        </r>
      </text>
    </comment>
    <comment ref="A30" authorId="0">
      <text>
        <r>
          <rPr>
            <sz val="10"/>
            <rFont val="Arial"/>
            <family val="2"/>
          </rPr>
          <t xml:space="preserve">Считается по накопленной чистой прибыли с учётом разработки MVP в месяце 0.</t>
        </r>
      </text>
    </comment>
    <comment ref="A34" authorId="0">
      <text>
        <r>
          <rPr>
            <sz val="10"/>
            <rFont val="Arial"/>
            <family val="2"/>
          </rPr>
          <t xml:space="preserve">Считаем по марже, а не по выручке: из платежа мастера вычитаем эквайринг и SMS-напоминания по его записям. Средний отток — по строке 56 листа «3 года подробно».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Не путать с сарафаном: это знакомые команды, чаты и колледжи. Сарафан от платящих мастеров — строка 55.</t>
        </r>
      </text>
    </comment>
    <comment ref="A19" authorId="0">
      <text>
        <r>
          <rPr>
            <sz val="10"/>
            <rFont val="Arial"/>
            <family val="2"/>
          </rPr>
          <t xml:space="preserve">Из 20% вернувшихся через месяц через год остаются 6%: (6/20)^(1/11) = 0,9 в месяц, то есть отток ≈10%.</t>
        </r>
      </text>
    </comment>
    <comment ref="A26" authorId="0">
      <text>
        <r>
          <rPr>
            <sz val="10"/>
            <rFont val="Arial"/>
            <family val="2"/>
          </rPr>
          <t xml:space="preserve">На УСН НДС с комиссии банка к вычету не принимается, поэтому он включён в стоимость эквайринга: 3,5% × 1,22 = 4,27%.</t>
        </r>
      </text>
    </comment>
    <comment ref="A60" authorId="0">
      <text>
        <r>
          <rPr>
            <sz val="10"/>
            <rFont val="Arial"/>
            <family val="2"/>
          </rPr>
          <t xml:space="preserve">Регистрации распределены по месяцу равномерно. При 14 днях успевают решить те, кто пришёл в первые 16 дней: 16/30 = 53%.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Реклама даёт меньше регистраций, чем «бюджет / CPL», по двум причинам: (1) насыщение — чем больше мастеров уже на платформе, тем труднее найти нового (строка 44); (2) холодный старт — у нового сервиса нет отзывов, первые регистрации дороже (строка 47).</t>
        </r>
      </text>
    </comment>
    <comment ref="A6" authorId="0">
      <text>
        <r>
          <rPr>
            <sz val="10"/>
            <rFont val="Arial"/>
            <family val="2"/>
          </rPr>
          <t xml:space="preserve">Без рекламы приходит постоянный базовый поток (25 в месяц) плюс рекомендации — 4% платящих мастеров приводят коллегу. Сарафан растёт с базой: в первый месяц рекомендовать некому.</t>
        </r>
      </text>
    </comment>
    <comment ref="A8" authorId="0">
      <text>
        <r>
          <rPr>
            <sz val="10"/>
            <rFont val="Arial"/>
            <family val="2"/>
          </rPr>
          <t xml:space="preserve">Пробный период 14 дней: кто зарегистрировался в первые 16 дней месяца, решает об оплате в том же месяце (53%), остальные — в следующем. Отсюда смесь этого и прошлого месяца.</t>
        </r>
      </text>
    </comment>
    <comment ref="A9" authorId="0">
      <text>
        <r>
          <rPr>
            <sz val="10"/>
            <rFont val="Arial"/>
            <family val="2"/>
          </rPr>
          <t xml:space="preserve">Отток считаем от базы прошлого месяца. Базовый отток снижается с 5% до 3% (строка 56), поправка на каталог — строка 55.</t>
        </r>
      </text>
    </comment>
    <comment ref="A14" authorId="0">
      <text>
        <r>
          <rPr>
            <sz val="10"/>
            <rFont val="Arial"/>
            <family val="2"/>
          </rPr>
          <t xml:space="preserve">Клиентский бюджет растёт вместе с числом мастеров (строка 50), иначе новых клиентов на мастера становится всё меньше и мастера уходят.</t>
        </r>
      </text>
    </comment>
    <comment ref="A25" authorId="0">
      <text>
        <r>
          <rPr>
            <sz val="10"/>
            <rFont val="Arial"/>
            <family val="2"/>
          </rPr>
          <t xml:space="preserve">Продвижение покупает растущая доля мастеров (строка 57): пока мастеров мало, выделяться незачем.</t>
        </r>
      </text>
    </comment>
    <comment ref="A27" authorId="0">
      <text>
        <r>
          <rPr>
            <sz val="10"/>
            <rFont val="Arial"/>
            <family val="2"/>
          </rPr>
          <t xml:space="preserve">С 2026 года УСН-компании платят НДС, если выручка за год выше порога (Вводные, строки 74–76). Пока выручка ниже порога, НДС нет. Цены не меняем, поэтому НДС уменьшает выручку: 5/105 от суммы.</t>
        </r>
      </text>
    </comment>
    <comment ref="A36" authorId="0">
      <text>
        <r>
          <rPr>
            <sz val="10"/>
            <rFont val="Arial"/>
            <family val="2"/>
          </rPr>
          <t xml:space="preserve">Нужен для переноса убытков: на УСН «доходы минус расходы» убыток прошлых периодов уменьшает налоговую базу.</t>
        </r>
      </text>
    </comment>
    <comment ref="A37" authorId="0">
      <text>
        <r>
          <rPr>
            <sz val="10"/>
            <rFont val="Arial"/>
            <family val="2"/>
          </rPr>
          <t xml:space="preserve">УСН «доходы минус расходы», 15%. Налог считается за год целиком: 15% с годовой прибыли за вычетом непогашенных убытков прошлых лет, но не меньше минимального налога 1% от годовой выручки (НК РФ, ст. 346.18). Годовая сумма распределена поровну на 12 месяцев года, как начисление: так месячная прибыль не проваливается в последний месяц года, а годовой налог тот же. Платится авансами по кварталам</t>
        </r>
      </text>
    </comment>
    <comment ref="A44" authorId="0">
      <text>
        <r>
          <rPr>
            <sz val="10"/>
            <rFont val="Arial"/>
            <family val="2"/>
          </rPr>
          <t xml:space="preserve">Модель Басса в упрощённом виде: приток × (1 − N/K). При N = K новых мастеров не остаётся.</t>
        </r>
      </text>
    </comment>
    <comment ref="A47" authorId="0">
      <text>
        <r>
          <rPr>
            <sz val="10"/>
            <rFont val="Arial"/>
            <family val="2"/>
          </rPr>
          <t xml:space="preserve">1 / (1 + 0,5 × e^(−N/500)): в месяц 1 реклама даёт в 1,5 раза меньше регистраций; при 500 мастерах наценка падает до 37% от начальной, при 1 500 — до 5%.</t>
        </r>
      </text>
    </comment>
    <comment ref="A51" authorId="0">
      <text>
        <r>
          <rPr>
            <sz val="10"/>
            <rFont val="Arial"/>
            <family val="2"/>
          </rPr>
          <t xml:space="preserve">Отдельно ведём только клиентов, пришедших через каталог: клиенты, которых мастер перенёс сам, — ценность инструмента записи, а не каталога.</t>
        </r>
      </text>
    </comment>
    <comment ref="A53" authorId="0">
      <text>
        <r>
          <rPr>
            <sz val="10"/>
            <rFont val="Arial"/>
            <family val="2"/>
          </rPr>
          <t xml:space="preserve">N — главная метрика ценности каталога для мастера. Если N ниже цели (Вводные, строка 63), мастера реже платят и чаще уходят.</t>
        </r>
      </text>
    </comment>
    <comment ref="A54" authorId="0">
      <text>
        <r>
          <rPr>
            <sz val="10"/>
            <rFont val="Arial"/>
            <family val="2"/>
          </rPr>
          <t xml:space="preserve">Берём N прошлого месяца, чтобы не было циклической ссылки: N зависит от числа мастеров этого месяца. Месяцы 1–3 — множитель 1: каталог ещё не запущен, мастер пришёл за инструментом.</t>
        </r>
      </text>
    </comment>
    <comment ref="A60" authorId="0">
      <text>
        <r>
          <rPr>
            <sz val="10"/>
            <rFont val="Arial"/>
            <family val="2"/>
          </rPr>
          <t xml:space="preserve">1 / (1 + 0,5 × e^(−N/500)): в месяц 1 реклама даёт в 1,5 раза меньше регистраций; при 500 мастерах наценка падает до 37% от начальной, при 1 500 — до 5%.</t>
        </r>
      </text>
    </comment>
    <comment ref="A61" authorId="0">
      <text>
        <r>
          <rPr>
            <sz val="10"/>
            <rFont val="Arial"/>
            <family val="2"/>
          </rPr>
          <t xml:space="preserve">1 / (1 + 0,5 × e^(−N/500)): в месяц 1 реклама даёт в 1,5 раза меньше регистраций; при 500 мастерах наценка падает до 37% от начальной, при 1 500 — до 5%.</t>
        </r>
      </text>
    </comment>
    <comment ref="A62" authorId="0">
      <text>
        <r>
          <rPr>
            <sz val="10"/>
            <rFont val="Arial"/>
            <family val="2"/>
          </rPr>
          <t xml:space="preserve">1 / (1 + 0,5 × e^(−N/500)): в месяц 1 реклама даёт в 1,5 раза меньше регистраций; при 500 мастерах наценка падает до 37% от начальной, при 1 500 — до 5%.</t>
        </r>
      </text>
    </comment>
  </commentList>
</comments>
</file>

<file path=xl/sharedStrings.xml><?xml version="1.0" encoding="utf-8"?>
<sst xmlns="http://schemas.openxmlformats.org/spreadsheetml/2006/main" count="754" uniqueCount="666">
  <si>
    <t xml:space="preserve">Показатель</t>
  </si>
  <si>
    <t xml:space="preserve">Год 1</t>
  </si>
  <si>
    <t xml:space="preserve">Год 2</t>
  </si>
  <si>
    <t xml:space="preserve">Год 3</t>
  </si>
  <si>
    <t xml:space="preserve">Комментарий</t>
  </si>
  <si>
    <t xml:space="preserve">Ключевые метрики</t>
  </si>
  <si>
    <t xml:space="preserve">Платящих мастеров на конец года</t>
  </si>
  <si>
    <t xml:space="preserve">Главная метрика роста</t>
  </si>
  <si>
    <t xml:space="preserve">Новых мастеров на пробном периоде за год</t>
  </si>
  <si>
    <t xml:space="preserve">Из рекламы и без неё (сарафан, рекомендации)</t>
  </si>
  <si>
    <t xml:space="preserve">Доля SAM на платной подписке</t>
  </si>
  <si>
    <t xml:space="preserve">SAM — лист «Вводные», строка 6</t>
  </si>
  <si>
    <t xml:space="preserve">Постоянных клиентов на конец года</t>
  </si>
  <si>
    <t xml:space="preserve">Записей через платформу за год</t>
  </si>
  <si>
    <t xml:space="preserve">Записей на мастера в месяц (конец года)</t>
  </si>
  <si>
    <t xml:space="preserve">[цель команды] 10+ записей на мастера в месяц, с учётом собственных клиентов мастера. Проверить на пилоте</t>
  </si>
  <si>
    <t xml:space="preserve">Записей из каталога на мастера в месяц (конец года)</t>
  </si>
  <si>
    <t xml:space="preserve">Новые клиенты из каталога и их повторные визиты, без клиентов, которых мастер перенёс сам. Цель — Вводные, строка 63</t>
  </si>
  <si>
    <t xml:space="preserve">GMV: оборот записей через платформу</t>
  </si>
  <si>
    <t xml:space="preserve">Сколько мастера заработали на записях через Камертон. Это не выручка Камертона</t>
  </si>
  <si>
    <t xml:space="preserve">Доходы</t>
  </si>
  <si>
    <t xml:space="preserve">Выручка от подписок</t>
  </si>
  <si>
    <t xml:space="preserve">Выручка от продвижения</t>
  </si>
  <si>
    <t xml:space="preserve">НДС на УСН (вычитается из выручки)</t>
  </si>
  <si>
    <t xml:space="preserve">5% в цене с месяца после превышения порога освобождения (Вводные, строки 74–77)</t>
  </si>
  <si>
    <t xml:space="preserve">Выручка всего без НДС</t>
  </si>
  <si>
    <t xml:space="preserve">Рост выручки</t>
  </si>
  <si>
    <t xml:space="preserve">Расходы</t>
  </si>
  <si>
    <t xml:space="preserve">OPEX</t>
  </si>
  <si>
    <t xml:space="preserve">Техподдержка, хостинг, команда после запуска, бухгалтерия и юрист</t>
  </si>
  <si>
    <t xml:space="preserve">Маркетинг</t>
  </si>
  <si>
    <t xml:space="preserve">Лист «Маркетинг»; клиентские каналы растут вместе с числом мастеров</t>
  </si>
  <si>
    <t xml:space="preserve">Разработка</t>
  </si>
  <si>
    <t xml:space="preserve">Разработка MVP — разовые вложения в месяц 0</t>
  </si>
  <si>
    <t xml:space="preserve">Переменные расходы на обслуживание</t>
  </si>
  <si>
    <t xml:space="preserve">Проверка новых мастеров, SMS-напоминания, эквайринг</t>
  </si>
  <si>
    <t xml:space="preserve">Прибыль</t>
  </si>
  <si>
    <t xml:space="preserve">Прибыль до налога</t>
  </si>
  <si>
    <t xml:space="preserve">Выручка минус OPEX, маркетинг, разработка и обслуживание</t>
  </si>
  <si>
    <t xml:space="preserve">Налог</t>
  </si>
  <si>
    <t xml:space="preserve">УСН 15% с годовой прибыли за вычетом убытков прошлых лет; если меньше — минимальный налог 1% от годовой выручки (НК РФ, ст. 346.18)</t>
  </si>
  <si>
    <t xml:space="preserve">Чистая прибыль за год</t>
  </si>
  <si>
    <t xml:space="preserve">Чистая маржа</t>
  </si>
  <si>
    <t xml:space="preserve">Накопленная прибыль</t>
  </si>
  <si>
    <t xml:space="preserve">На конец года</t>
  </si>
  <si>
    <t xml:space="preserve">ROI: чистая прибыль на рубль затрат</t>
  </si>
  <si>
    <t xml:space="preserve">Чистая прибыль / (OPEX + маркетинг + разработка + обслуживание); годы 2 и 3 — нарастающим итогом</t>
  </si>
  <si>
    <t xml:space="preserve">Потребность в инвестициях</t>
  </si>
  <si>
    <t xml:space="preserve">Самый глубокий минус накопленной прибыли: столько денег нужно, чтобы дойти до окупаемости</t>
  </si>
  <si>
    <t xml:space="preserve">Срок окупаемости</t>
  </si>
  <si>
    <t xml:space="preserve">месяц</t>
  </si>
  <si>
    <t xml:space="preserve">Первый месяц, в котором накопленная прибыль стала положительной</t>
  </si>
  <si>
    <t xml:space="preserve">Юнит-экономика мастера</t>
  </si>
  <si>
    <t xml:space="preserve">ARPU: выручка с платящего мастера</t>
  </si>
  <si>
    <t xml:space="preserve">₽/мес</t>
  </si>
  <si>
    <t xml:space="preserve">Подписка + продвижение × средняя доля покупающих за месяцы 4–36</t>
  </si>
  <si>
    <t xml:space="preserve">CAC: привлечение платящего мастера</t>
  </si>
  <si>
    <t xml:space="preserve">₽</t>
  </si>
  <si>
    <t xml:space="preserve">Расходы на привлечение мастеров за 1-й год / новые платящие мастера из рекламы, с учётом насыщения рынка и холодного старта</t>
  </si>
  <si>
    <t xml:space="preserve">LTV: маржа с мастера за время жизни</t>
  </si>
  <si>
    <t xml:space="preserve">(ARPU − эквайринг − SMS-напоминания по записям мастера) / средний отток за 3 года</t>
  </si>
  <si>
    <t xml:space="preserve">LTV / CAC</t>
  </si>
  <si>
    <t xml:space="preserve">Ориентир — не меньше 3</t>
  </si>
  <si>
    <t xml:space="preserve">Проверка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</si>
  <si>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</si>
  <si>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</si>
  <si>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</si>
  <si>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</si>
  <si>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Рынок Москвы</t>
  </si>
  <si>
    <t xml:space="preserve">Частные бьюти-мастера в Москве</t>
  </si>
  <si>
    <t xml:space="preserve">мастеров</t>
  </si>
  <si>
    <t xml:space="preserve">Более 50 тыс. самозанятых в бьюти (ДПиИР Москвы через РБК, 2025) + мастера без регистрации; коридор 50–85 тыс. — оценка команды (ссылка — лист «Источники»)</t>
  </si>
  <si>
    <t xml:space="preserve">Доля мастеров в наших услугах (ногти, брови/ресницы, волосы, макияж)</t>
  </si>
  <si>
    <t xml:space="preserve">%</t>
  </si>
  <si>
    <t xml:space="preserve">[допущение] Первоисточника нет: доля мастеров ногтей, бровей/ресниц, волос и макияжа среди всех бьюти-мастеров. Проверить на пилоте</t>
  </si>
  <si>
    <t xml:space="preserve">Доля мастеров, которые ищут клиентов и записывают онлайн</t>
  </si>
  <si>
    <t xml:space="preserve">[допущение] Опора: 42% мастеров искали клиентов на Авито уже в 2022 (Data Insight через Коммерсантъ) (ссылка — лист «Источники»)</t>
  </si>
  <si>
    <t xml:space="preserve">SAM: мастера, которым нужен Камертон</t>
  </si>
  <si>
    <t xml:space="preserve">Расчёт: мастера × доля наших услуг × доля ищущих клиентов онлайн</t>
  </si>
  <si>
    <t xml:space="preserve">Средний чек бьюти-услуги в Москве</t>
  </si>
  <si>
    <t xml:space="preserve">СберАналитика, янв.–нояб. 2025 (ссылка — лист «Источники»)</t>
  </si>
  <si>
    <t xml:space="preserve">Визитов постоянного клиента в год</t>
  </si>
  <si>
    <t xml:space="preserve">визитов</t>
  </si>
  <si>
    <t xml:space="preserve">Опрос Авито, 10 000 женщин, через Mail.ru (ссылка — лист «Источники»)</t>
  </si>
  <si>
    <t xml:space="preserve">Воронка мастеров</t>
  </si>
  <si>
    <t xml:space="preserve">Регистрации мастеров без рекламы (сарафан, чаты, знакомые)</t>
  </si>
  <si>
    <t xml:space="preserve">мастеров/мес</t>
  </si>
  <si>
    <t xml:space="preserve">[допущение] Постоянный поток без рекламы с первого месяца: знакомые команды, чаты и каналы мастеров, колледжи. Сарафан, который растёт с базой, считается отдельно (строка 55)</t>
  </si>
  <si>
    <t xml:space="preserve">Конверсия пробного периода в платную подписку</t>
  </si>
  <si>
    <t xml:space="preserve">Visionary Marketing, 2026 (84 200 пробных периодов, 38 SaaS-компаний): с помощью менеджера в пробный период (PLG + sales-assist) — 30,5%, без помощи — 22,1%; пробный период 14 дней — 28,4% против 21,8% у 30 дней (+6,6 п.п.). Берём 30,5% + 6,6 п.п. = 37,1%. Прибавляем разницу, а не умножаем (30,5% × 28,4/21,8 = 39,7%), чтобы не переоценить: эффекты из одного исследования могут пересекаться. Менеджер по привлечению мастеров (OPEX) созванивается с каждым новым мастером. Проверим на пилоте</t>
  </si>
  <si>
    <t xml:space="preserve">Отток платящих мастеров в 1-й месяц после запуска</t>
  </si>
  <si>
    <t xml:space="preserve">% в месяц</t>
  </si>
  <si>
    <t xml:space="preserve">SaaStr: очень малый бизнес уходит с темпом 3–5% в месяц. На старте берём верхнюю границу 5%: продукт сырой, отзывов и клиентов в каталоге мало. Дальше отток снижается к 3% (строки 69–70) (ссылка — лист «Источники»)</t>
  </si>
  <si>
    <t xml:space="preserve">Клиенты и матчинг</t>
  </si>
  <si>
    <t xml:space="preserve">Клиентов, которых мастер переносит на платформу при подключении</t>
  </si>
  <si>
    <t xml:space="preserve">клиентов</t>
  </si>
  <si>
    <t xml:space="preserve">Расчёт: постоянных клиентов у мастера × доля, которую он переносит на платформу (расчёт ниже)</t>
  </si>
  <si>
    <t xml:space="preserve">Доля первых визитов с оценкой «совпали»</t>
  </si>
  <si>
    <t xml:space="preserve">[цель команды] Контекст: 64% клиентов имеют постоянного мастера, 39% выбирают по личным качествам (Анкетолог, 2021). Проверить на пилоте (ссылка — лист «Источники»)</t>
  </si>
  <si>
    <t xml:space="preserve">Повторная запись, если совпали</t>
  </si>
  <si>
    <t xml:space="preserve">[допущение] Вдвое выше среднего по рынку (20%, строка ниже): подбор по манере — главная ценность продукта. Уточним на пилоте</t>
  </si>
  <si>
    <t xml:space="preserve">Повторная запись, если не совпали</t>
  </si>
  <si>
    <t xml:space="preserve">Арника CRM (crmindex.ru): через месяц после первого визита возвращаются около 20% клиентов (ссылка — лист «Источники»)</t>
  </si>
  <si>
    <t xml:space="preserve">Итоговая доля клиентов, которые возвращаются</t>
  </si>
  <si>
    <t xml:space="preserve">Расчёт: совпали × повтор при совпадении + не совпали × повтор без совпадения. Через эту долю подбор по манере влияет на число записей</t>
  </si>
  <si>
    <t xml:space="preserve">Отток постоянных клиентов</t>
  </si>
  <si>
    <t xml:space="preserve">Расчёт: из 20% вернувшихся через год остаются 6% — это отток около 10% в месяц (расчёт ниже)</t>
  </si>
  <si>
    <t xml:space="preserve">Монетизация</t>
  </si>
  <si>
    <t xml:space="preserve">Подписка мастера</t>
  </si>
  <si>
    <t xml:space="preserve">[решение команды] Ориентир: YCLIENTS для частного специалиста от 1 600 ₽/мес (Webgard) (ссылка — лист «Источники»)</t>
  </si>
  <si>
    <t xml:space="preserve">Продвижение профиля в каталоге</t>
  </si>
  <si>
    <t xml:space="preserve">[решение команды] Ориентир: Профи.ру берёт с мастера ≈50–300 ₽ за отклик (HelmePro) (ссылка — лист «Источники»)</t>
  </si>
  <si>
    <t xml:space="preserve">Потолок доли платящих мастеров, покупающих продвижение</t>
  </si>
  <si>
    <t xml:space="preserve">[решение команды] Опора: опрос Авито (10 тыс. человек, март 2026) — 41% исполнителей в России платят за продвижение (31% до 5 тыс. ₽/мес, 10% — 5–10 тыс. ₽), в Петербурге 49%; средний бюджет 8,8 тыс. ₽/мес. Это все каналы сразу, каталог получит часть: берём ≈60% от 41%. Доля растёт с базой мастеров (строка 71) (ссылка — лист «Источники»)</t>
  </si>
  <si>
    <t xml:space="preserve">Продвижение запускается с месяца</t>
  </si>
  <si>
    <t xml:space="preserve">мес.</t>
  </si>
  <si>
    <t xml:space="preserve">[допущение] Клиенты приходят в каталог с 3-го месяца (лист «Маркетинг»), продвижение имеет смысл со следующего</t>
  </si>
  <si>
    <t xml:space="preserve">Экономические параметры</t>
  </si>
  <si>
    <t xml:space="preserve">Эквайринг</t>
  </si>
  <si>
    <t xml:space="preserve">% от выручки</t>
  </si>
  <si>
    <t xml:space="preserve">Расчёт: комиссия ЮKassa по картам + НДС с комиссии, который на УСН не принимается к вычету (расчёт ниже)</t>
  </si>
  <si>
    <t xml:space="preserve">Налог УСН «доходы минус расходы»</t>
  </si>
  <si>
    <t xml:space="preserve">НК РФ (ссылка — лист «Источники»)</t>
  </si>
  <si>
    <t xml:space="preserve">Минимальный налог УСН</t>
  </si>
  <si>
    <t xml:space="preserve">НК РФ: платится, даже если прибыли нет (ссылка — лист «Источники»)</t>
  </si>
  <si>
    <t xml:space="preserve">Внедрение</t>
  </si>
  <si>
    <t xml:space="preserve">OPEX запускается с месяца</t>
  </si>
  <si>
    <t xml:space="preserve">[допущение] OPEX начинается с запуска продукта в месяце 1</t>
  </si>
  <si>
    <t xml:space="preserve">Страховые взносы на ФОТ</t>
  </si>
  <si>
    <t xml:space="preserve">НК РФ, общий тариф (ссылка — лист «Источники»)</t>
  </si>
  <si>
    <t xml:space="preserve">Резерв на непредвиденные работы разработки</t>
  </si>
  <si>
    <t xml:space="preserve">PMI: резерв 20% бюджета проекта — 10% на известные риски и 10% на неизвестные (ссылка — лист «Источники»)</t>
  </si>
  <si>
    <t xml:space="preserve">Ставка разработчика на поддержку и доработки после MVP</t>
  </si>
  <si>
    <t xml:space="preserve">ставки</t>
  </si>
  <si>
    <t xml:space="preserve">[решение команды] После запуска нужен свой разработчик на четверть ставки: крупных изменений после запуска не планируется: исправления, доработки, новые функции. Зарплата — медиана разработчика в Москве (Разработка!B4) с взносами. Сверка: Edana, 2026 — поддержка ПО обходится в 15–25% стоимости разработки в год (0,5–0,8 млн ₽); четверть ставки (≈1,05 млн ₽ в год) покрывает поддержку с небольшим запасом на доработки (ссылка — лист «Источники»)</t>
  </si>
  <si>
    <t xml:space="preserve">Сокращение трудозатрат разработки за счёт ИИ-инструментов</t>
  </si>
  <si>
    <t xml:space="preserve">% часов</t>
  </si>
  <si>
    <t xml:space="preserve">McKinsey, 2023: с генеративным ИИ код пишется на 35–45% быстрее; GitHub, 2023: с Copilot задача выполнена на 55,8% быстрее. Берём 40%. Продукт пишется с нуля — ближе к условиям этих исследований; прототип уже собран с помощью ИИ. Не применяется к работе менеджера продукта (ссылка — лист «Источники»)</t>
  </si>
  <si>
    <t xml:space="preserve">Расчёты для вводных</t>
  </si>
  <si>
    <t xml:space="preserve">Медианный доход частного мастера в Москве</t>
  </si>
  <si>
    <t xml:space="preserve">YCLIENTS через Коммерсантъ, март 2026 (ссылка — лист «Источники»)</t>
  </si>
  <si>
    <t xml:space="preserve">Визитов у мастера в месяц</t>
  </si>
  <si>
    <t xml:space="preserve">Расчёт: доход / средний чек</t>
  </si>
  <si>
    <t xml:space="preserve">Постоянных клиентов у одного мастера</t>
  </si>
  <si>
    <t xml:space="preserve">Расчёт: визиты мастера в месяц / визиты одного клиента в месяц</t>
  </si>
  <si>
    <t xml:space="preserve">Доля базы, которую мастер переносит на платформу при подключении</t>
  </si>
  <si>
    <t xml:space="preserve">[допущение] Не все клиенты готовы записываться через новый сервис; уточним на пилоте</t>
  </si>
  <si>
    <t xml:space="preserve">Возвращаются в течение месяца после первого визита</t>
  </si>
  <si>
    <t xml:space="preserve">Арника CRM (crmindex.ru, 2021) (ссылка — лист «Источники»)</t>
  </si>
  <si>
    <t xml:space="preserve">Возвращаются через год после первого визита</t>
  </si>
  <si>
    <t xml:space="preserve">Комиссия ЮKassa за оплату картой</t>
  </si>
  <si>
    <t xml:space="preserve">Базовая ставка ЮKassa (quasa.io, 2026) (ссылка — лист «Источники»)</t>
  </si>
  <si>
    <t xml:space="preserve">НДС на комиссию платёжного сервиса</t>
  </si>
  <si>
    <t xml:space="preserve">НК РФ: ставка НДС 22% с 2026 года; на УСН входящий НДС не вычитается (ссылка — лист «Источники»)</t>
  </si>
  <si>
    <t xml:space="preserve">Насыщение рынка (модель Басса)</t>
  </si>
  <si>
    <t xml:space="preserve">Ёмкость рынка мастеров (K)</t>
  </si>
  <si>
    <t xml:space="preserve">Расчёт: SAM (строка 6). Приток мастеров = (реклама + сарафан) × (1 − платящие мастера / K): чем ближе база к потолку, тем дороже каждый новый мастер</t>
  </si>
  <si>
    <t xml:space="preserve">Ёмкость клиентской аудитории (K)</t>
  </si>
  <si>
    <t xml:space="preserve">Расчёт: женщины 20–45 лет в Москве (строка 53). Приток клиентов = реклама × (1 − постоянные клиенты / K)</t>
  </si>
  <si>
    <t xml:space="preserve">Женщин 20–45 лет в Москве (клиентская аудитория)</t>
  </si>
  <si>
    <t xml:space="preserve">чел.</t>
  </si>
  <si>
    <t xml:space="preserve">7,10 млн москвичек (Росстат через Т—Ж); доля 20–45 лет ≈35% — наша оценка, разбивки по возрасту не нашли (ссылка — лист «Источники»)</t>
  </si>
  <si>
    <t xml:space="preserve">Рекомендации: доля платящих мастеров, которые приводят коллегу за месяц</t>
  </si>
  <si>
    <t xml:space="preserve">[допущение] Мастер приводит коллегу по студии или ученицу. Проверка: при 4% регистрации без рекламы дают около 20% всех регистраций. Ориентир — 20–40% новых клиентов SaaS приходят через рекомендации (OpenView Partners, SaaStr) (ссылка — лист «Источники»)</t>
  </si>
  <si>
    <t xml:space="preserve">Холодный старт: насколько дороже реклама при запуске (w)</t>
  </si>
  <si>
    <t xml:space="preserve">[допущение] У нового сервиса нет отзывов, узнаваемости и коллег, которые им пользуются, поэтому первые регистрации из рекламы дороже на 50%. Уточним первым тестом рекламы</t>
  </si>
  <si>
    <t xml:space="preserve">Мастеров на платформе, после которых продукт считается известным (N₀)</t>
  </si>
  <si>
    <t xml:space="preserve">[допущение] При 500 платящих мастерах наценка холодного старта падает до 37% от начальной, при 1 500 — до 5%</t>
  </si>
  <si>
    <t xml:space="preserve">Как считается приток мастеров</t>
  </si>
  <si>
    <t xml:space="preserve">Регистрации из рекламы = бюджет / CPL × (1 − N/K) / (1 + w·e^(−N/N₀)); без рекламы = (базовый поток + доля рекомендаций × N) × (1 − N/K). N — платящие мастера на конец прошлого месяца, K — ёмкость рынка (строка 51). Реальная цена регистрации = CPL × (1 + w·e^(−N/N₀)) / (1 − N/K): дорогая на старте, дешевеет по мере узнаваемости и снова дорожает у потолка рынка</t>
  </si>
  <si>
    <t xml:space="preserve">Длительность пробного периода</t>
  </si>
  <si>
    <t xml:space="preserve">дней</t>
  </si>
  <si>
    <t xml:space="preserve">[решение команды] Visionary Marketing, 2026: пробный период 14 дней даёт лучшую конверсию, чем 7 и 30 дней (строка 11) (ссылка — лист «Источники»)</t>
  </si>
  <si>
    <t xml:space="preserve">Доля мастеров на пробном периоде, которые решают об оплате в том же месяце</t>
  </si>
  <si>
    <t xml:space="preserve">Расчёт: регистрации идут равномерно по месяцу; кто зарегистрировался в первые 30 − 14 = 16 дней, успевает решить в том же месяце. При 30 днях — 0%, все решают в следующем месяце</t>
  </si>
  <si>
    <t xml:space="preserve">Связь каталога с мастерами</t>
  </si>
  <si>
    <t xml:space="preserve">Целевое число записей из каталога на мастера (T)</t>
  </si>
  <si>
    <t xml:space="preserve">записей/мес</t>
  </si>
  <si>
    <t xml:space="preserve">[допущение] Новые клиенты из каталога и их повторные визиты в месяц на одного мастера. При N = T конверсия и отток равны строкам 11 и 12. Проверить на пилоте: сравнить отток мастеров с разным числом записей из каталога</t>
  </si>
  <si>
    <t xml:space="preserve">Чувствительность оттока мастеров к каталогу</t>
  </si>
  <si>
    <t xml:space="preserve">коэф.</t>
  </si>
  <si>
    <t xml:space="preserve">[допущение] Отток = базовый отток месяца × (1 + коэф. × (1 − N/T)), в пределах ×0,5…×2. Пример: каталог даёт половину цели → отток × 1,25 (4% → 5%). Публичных данных о такой связи нет, измерить на пилоте</t>
  </si>
  <si>
    <t xml:space="preserve">Чувствительность конверсии пробного периода к каталогу</t>
  </si>
  <si>
    <t xml:space="preserve">[допущение] Конверсия = строка 11 × (1 − коэф. × (1 − N/T)), в пределах ×0,5…×1,5. Пример: каталог даёт половину цели → 37,1% × 0,75 = 27,8%</t>
  </si>
  <si>
    <t xml:space="preserve">Клиентская реклама растёт вместе с числом мастеров (1 — да, 0 — нет)</t>
  </si>
  <si>
    <t xml:space="preserve">1/0</t>
  </si>
  <si>
    <t xml:space="preserve">[допущение] Бюджет клиентских каналов × (платящие мастера / строка 67), но не меньше базового. Иначе с ростом базы на каждого мастера приходится всё меньше новых клиентов</t>
  </si>
  <si>
    <t xml:space="preserve">Мастеров, на которых рассчитан базовый клиентский бюджет</t>
  </si>
  <si>
    <t xml:space="preserve">[допущение] Пока платящих мастеров меньше этого числа, клиентский бюджет равен базовому (лист «Маркетинг»); дальше растёт пропорционально числу мастеров</t>
  </si>
  <si>
    <t xml:space="preserve">Снижение оттока мастеров со временем</t>
  </si>
  <si>
    <t xml:space="preserve">Отток платящих мастеров, к которому он снижается</t>
  </si>
  <si>
    <t xml:space="preserve">SaaStr: нижняя граница диапазона 3–5% для очень малого бизнеса. Продукт дорабатывается, у мастеров копятся клиенты и отзывы в Камертоне, и уходить им дороже (ссылка — лист «Источники»)</t>
  </si>
  <si>
    <t xml:space="preserve">Скорость снижения оттока (τ)</t>
  </si>
  <si>
    <t xml:space="preserve">[допущение] Отток = 3% + (5% − 3%) × e^(−(месяц − 1)/τ). При τ = 12: месяц 1 — 5,0%, месяц 12 — 3,8%, месяц 24 — 3,3%, месяц 36 — 3,1%. Проверить на пилоте по реальному оттоку</t>
  </si>
  <si>
    <t xml:space="preserve">Мастеров, при которых доля продвижения доходит до 63% потолка</t>
  </si>
  <si>
    <t xml:space="preserve">[допущение] Доля = потолок × (1 − e^(−платящие мастера / это число)). Пока мастеров мало, выделяться незачем. Порог тот же, что у холодного старта (строка 57). При 25%: ≈19% в конце 1-го года, ≈23% во 2-м, ≈25% в 3-м</t>
  </si>
  <si>
    <t xml:space="preserve">НДС на УСН</t>
  </si>
  <si>
    <t xml:space="preserve">Порог освобождения от НДС, 1-й год модели (2027)</t>
  </si>
  <si>
    <t xml:space="preserve">₽ выручки в год</t>
  </si>
  <si>
    <t xml:space="preserve">НК РФ, ст. 145 (в ред. закона № 228-ФЗ от 04.07.2026): 20 млн ₽ в 2026–2028 годах, 15 млн ₽ в 2029-м, 10 млн ₽ с 2030-го. Если выручка с начала года превысила порог, НДС платится со следующего месяца; если порог превышен за прошлый год, НДС платится весь год (ссылка — лист «Источники»)</t>
  </si>
  <si>
    <t xml:space="preserve">Порог освобождения от НДС, 2-й год модели (2028)</t>
  </si>
  <si>
    <t xml:space="preserve">НК РФ, ст. 145 (ссылка — лист «Источники»)</t>
  </si>
  <si>
    <t xml:space="preserve">Порог освобождения от НДС, 3-й год модели (2029)</t>
  </si>
  <si>
    <t xml:space="preserve">Ставка НДС на УСН после превышения порога</t>
  </si>
  <si>
    <t xml:space="preserve">НК РФ, ст. 164: пониженная ставка 5% без вычета входящего НДС при доходах до 250 млн ₽ с учётом дефлятора. Цены 990 и 1 490 ₽ остаются прежними, НДС входит в них (ссылка — лист «Источники»)</t>
  </si>
  <si>
    <t xml:space="preserve">Месяц 0</t>
  </si>
  <si>
    <t xml:space="preserve">Месяц 1</t>
  </si>
  <si>
    <t xml:space="preserve">Месяц 2</t>
  </si>
  <si>
    <t xml:space="preserve">Месяц 3</t>
  </si>
  <si>
    <t xml:space="preserve">Месяц 4</t>
  </si>
  <si>
    <t xml:space="preserve">Месяц 5</t>
  </si>
  <si>
    <t xml:space="preserve">Месяц 6</t>
  </si>
  <si>
    <t xml:space="preserve">Месяц 7</t>
  </si>
  <si>
    <t xml:space="preserve">Месяц 8</t>
  </si>
  <si>
    <t xml:space="preserve">Месяц 9</t>
  </si>
  <si>
    <t xml:space="preserve">Месяц 10</t>
  </si>
  <si>
    <t xml:space="preserve">Месяц 11</t>
  </si>
  <si>
    <t xml:space="preserve">Месяц 12</t>
  </si>
  <si>
    <t xml:space="preserve">Месяц 13</t>
  </si>
  <si>
    <t xml:space="preserve">Месяц 14</t>
  </si>
  <si>
    <t xml:space="preserve">Месяц 15</t>
  </si>
  <si>
    <t xml:space="preserve">Месяц 16</t>
  </si>
  <si>
    <t xml:space="preserve">Месяц 17</t>
  </si>
  <si>
    <t xml:space="preserve">Месяц 18</t>
  </si>
  <si>
    <t xml:space="preserve">Месяц 19</t>
  </si>
  <si>
    <t xml:space="preserve">Месяц 20</t>
  </si>
  <si>
    <t xml:space="preserve">Месяц 21</t>
  </si>
  <si>
    <t xml:space="preserve">Месяц 22</t>
  </si>
  <si>
    <t xml:space="preserve">Месяц 23</t>
  </si>
  <si>
    <t xml:space="preserve">Месяц 24</t>
  </si>
  <si>
    <t xml:space="preserve">Месяц 25</t>
  </si>
  <si>
    <t xml:space="preserve">Месяц 26</t>
  </si>
  <si>
    <t xml:space="preserve">Месяц 27</t>
  </si>
  <si>
    <t xml:space="preserve">Месяц 28</t>
  </si>
  <si>
    <t xml:space="preserve">Месяц 29</t>
  </si>
  <si>
    <t xml:space="preserve">Месяц 30</t>
  </si>
  <si>
    <t xml:space="preserve">Месяц 31</t>
  </si>
  <si>
    <t xml:space="preserve">Месяц 32</t>
  </si>
  <si>
    <t xml:space="preserve">Месяц 33</t>
  </si>
  <si>
    <t xml:space="preserve">Месяц 34</t>
  </si>
  <si>
    <t xml:space="preserve">Месяц 35</t>
  </si>
  <si>
    <t xml:space="preserve">Месяц 36</t>
  </si>
  <si>
    <t xml:space="preserve">Номер месяца</t>
  </si>
  <si>
    <t xml:space="preserve">Мастера</t>
  </si>
  <si>
    <t xml:space="preserve">Регистрации мастеров из маркетинга (с учётом насыщения и холодного старта)</t>
  </si>
  <si>
    <t xml:space="preserve">Регистрации мастеров без рекламы: базовый поток + рекомендации (с учётом насыщения)</t>
  </si>
  <si>
    <t xml:space="preserve">Новых мастеров на пробном периоде</t>
  </si>
  <si>
    <t xml:space="preserve">Новые платящие мастера: пробный период этого и прошлого месяца × конверсия × множитель каталога (строка 54)</t>
  </si>
  <si>
    <t xml:space="preserve">Ушли платящие мастера: база × базовый отток месяца (строка 56) × множитель каталога (строка 55)</t>
  </si>
  <si>
    <t xml:space="preserve">Платящих мастеров на конец месяца</t>
  </si>
  <si>
    <t xml:space="preserve">Клиенты и записи</t>
  </si>
  <si>
    <t xml:space="preserve">Новые клиенты из рекламы (с учётом насыщения и роста клиентского бюджета, строка 50)</t>
  </si>
  <si>
    <t xml:space="preserve">Клиенты, которых перенесли новые мастера</t>
  </si>
  <si>
    <t xml:space="preserve">Стали постоянными после первого визита</t>
  </si>
  <si>
    <t xml:space="preserve">Ушли постоянные клиенты</t>
  </si>
  <si>
    <t xml:space="preserve">Постоянных клиентов на конец месяца</t>
  </si>
  <si>
    <t xml:space="preserve">Записей через платформу</t>
  </si>
  <si>
    <t xml:space="preserve">Записей на одного платящего мастера</t>
  </si>
  <si>
    <t xml:space="preserve">GMV: оборот записей через платформу (деньги мастеров, не выручка Камертона)</t>
  </si>
  <si>
    <t xml:space="preserve">Выручка</t>
  </si>
  <si>
    <t xml:space="preserve">Выручка от продвижения (доля покупающих растёт с базой, строка 57)</t>
  </si>
  <si>
    <t xml:space="preserve">НДС на УСН в цене подписки и продвижения (с месяца после превышения порога)</t>
  </si>
  <si>
    <t xml:space="preserve">Маркетинг (клиентские каналы × рост клиентского бюджета, строка 50)</t>
  </si>
  <si>
    <t xml:space="preserve">Переменные расходы на обслуживание: проверка мастеров, напоминания, эквайринг</t>
  </si>
  <si>
    <t xml:space="preserve">Расходы до налога, итого</t>
  </si>
  <si>
    <t xml:space="preserve">Прибыль до налога нарастающим итогом (для переноса убытков)</t>
  </si>
  <si>
    <t xml:space="preserve">Налог УСН (годовой налог, распределён поровну по месяцам года)</t>
  </si>
  <si>
    <t xml:space="preserve">Расходы с налогом, итого</t>
  </si>
  <si>
    <t xml:space="preserve">Чистая прибыль</t>
  </si>
  <si>
    <t xml:space="preserve">Коэффициент притока мастеров: 1 − платящие мастера / ёмкость рынка</t>
  </si>
  <si>
    <t xml:space="preserve">Коэффициент притока клиентов: 1 − постоянные клиенты / ёмкость аудитории</t>
  </si>
  <si>
    <t xml:space="preserve">Стоимость регистрации мастера с учётом насыщения и холодного старта, ₽</t>
  </si>
  <si>
    <t xml:space="preserve">Коэффициент холодного старта: 1 / (1 + w·e^(−платящие мастера / N₀))</t>
  </si>
  <si>
    <t xml:space="preserve">Рост клиентского бюджета: платящие мастера прошлого месяца / мастера, на которых рассчитан бюджет (не меньше 1)</t>
  </si>
  <si>
    <t xml:space="preserve">Постоянные клиенты, пришедшие через каталог (без перенесённых мастерами)</t>
  </si>
  <si>
    <t xml:space="preserve">Записи из каталога: новые клиенты + визиты постоянных клиентов из каталога</t>
  </si>
  <si>
    <t xml:space="preserve">Записей из каталога на одного платящего мастера (N)</t>
  </si>
  <si>
    <t xml:space="preserve">Множитель конверсии: 1 − чувствительность × (1 − N/T) по N прошлого месяца; до запуска каталога — 1</t>
  </si>
  <si>
    <t xml:space="preserve">Множитель оттока: 1 + чувствительность × (1 − N/T) по N прошлого месяца; до запуска каталога — 1</t>
  </si>
  <si>
    <t xml:space="preserve">Базовый отток мастеров: 3% + (5% − 3%) × e^(−(месяц − 1)/τ), до поправки на каталог</t>
  </si>
  <si>
    <t xml:space="preserve">Доля платящих мастеров, покупающих продвижение: потолок × (1 − e^(−мастера / порог))</t>
  </si>
  <si>
    <t xml:space="preserve">Год модели</t>
  </si>
  <si>
    <t xml:space="preserve">Выручка с начала года до этого месяца (с НДС)</t>
  </si>
  <si>
    <t xml:space="preserve">НДС платится в этом месяце (1 — да, 0 — нет)</t>
  </si>
  <si>
    <t xml:space="preserve">Функция</t>
  </si>
  <si>
    <t xml:space="preserve">Для кого</t>
  </si>
  <si>
    <t xml:space="preserve">Этап</t>
  </si>
  <si>
    <t xml:space="preserve">Экранов / вариантов</t>
  </si>
  <si>
    <t xml:space="preserve">Сложность</t>
  </si>
  <si>
    <t xml:space="preserve">UX часы</t>
  </si>
  <si>
    <t xml:space="preserve">Frontend часы</t>
  </si>
  <si>
    <t xml:space="preserve">Backend часы</t>
  </si>
  <si>
    <t xml:space="preserve">QA часы</t>
  </si>
  <si>
    <t xml:space="preserve">Где в прототипе / обоснование</t>
  </si>
  <si>
    <t xml:space="preserve">Поиск по совпадению: метки, фильтры (услуга, метро, место, цена), сортировка</t>
  </si>
  <si>
    <t xml:space="preserve">клиент</t>
  </si>
  <si>
    <t xml:space="preserve">MVP</t>
  </si>
  <si>
    <t xml:space="preserve">Прототип: belyaevartemg-sudo.github.io/ritm — экран «Найти мастера»: выдача, панель фильтров, пустая выдача. Сложнее остальных: логика совпадения по меткам</t>
  </si>
  <si>
    <t xml:space="preserve">Карточка мастера в каталоге: ближайшее окно, метки, «Проверенный мастер»</t>
  </si>
  <si>
    <t xml:space="preserve">Прототип: belyaevartemg-sudo.github.io/ritm — карточка в выдаче, состояние «нет окон»</t>
  </si>
  <si>
    <t xml:space="preserve">Профиль мастера для клиента: работы, услуги и цены, где принимает, отзывы</t>
  </si>
  <si>
    <t xml:space="preserve">Прототип: belyaevartemg-sudo.github.io/ritm — профиль: блоки «Работы», «Услуги и цены», «Где принимает», «Отзывы»</t>
  </si>
  <si>
    <t xml:space="preserve">Анкета мастера: метки манеры, место, адрес, о себе, фото работ</t>
  </si>
  <si>
    <t xml:space="preserve">мастер</t>
  </si>
  <si>
    <t xml:space="preserve">Прототип: belyaevartemg-sudo.github.io/ritm — кабинет мастера, вкладка «Профиль и услуги»: метки, место, услуги, фото</t>
  </si>
  <si>
    <t xml:space="preserve">Онлайн-запись: услуга → день → окно → подтверждение</t>
  </si>
  <si>
    <t xml:space="preserve">Прототип: belyaevartemg-sudo.github.io/ritm — «Свободные окна на неделю», выбор времени, подтверждение. Нужна защита от двойной записи</t>
  </si>
  <si>
    <t xml:space="preserve">Расписание мастера: окна на неделю, открыть / закрыть</t>
  </si>
  <si>
    <t xml:space="preserve">Прототип: belyaevartemg-sudo.github.io/ritm — вкладка «Расписание»: окна, «Открыть все будни 11–19», «Закрыть все свободные»</t>
  </si>
  <si>
    <t xml:space="preserve">Напоминания: push, Telegram, SMS; «Приду» / «Перенести»</t>
  </si>
  <si>
    <t xml:space="preserve">клиент/мастер</t>
  </si>
  <si>
    <t xml:space="preserve">Прототип: belyaevartemg-sudo.github.io/ritm — «Как выглядит push», кнопки «Приду» и «Перенести». Интеграции с push, Telegram-ботом и SMS-агрегатором</t>
  </si>
  <si>
    <t xml:space="preserve">Отзыв после визита: звёзды и отметки «что совпало»</t>
  </si>
  <si>
    <t xml:space="preserve">Прототип: belyaevartemg-sudo.github.io/ritm — форма «Оставить отзыв», «Ваши отметки». Отзыв — только после записи через сервис</t>
  </si>
  <si>
    <t xml:space="preserve">Модерация: фото, документы, отзывы; «Проверенный мастер»</t>
  </si>
  <si>
    <t xml:space="preserve">команда</t>
  </si>
  <si>
    <t xml:space="preserve">В прототипе только статус «Проверенный мастер» и тексты про модерацию. Нужна админка: очередь профилей, отзывов и фото</t>
  </si>
  <si>
    <t xml:space="preserve">Регистрация, роли «клиент / мастер», ссылка на запись для своих клиентов</t>
  </si>
  <si>
    <t xml:space="preserve">мастер/клиент</t>
  </si>
  <si>
    <t xml:space="preserve">Прототип: belyaevartemg-sudo.github.io/ritm — переключатель «Клиент / Мастер», блок «Ссылка на запись». Вход по телефону — в прототипе нет</t>
  </si>
  <si>
    <t xml:space="preserve">Подписка: 14 дней бесплатно, рекуррентная оплата</t>
  </si>
  <si>
    <t xml:space="preserve">Прототип: belyaevartemg-sudo.github.io/ritm — вкладка «Тариф». Оплаты в прототипе нет: нужна интеграция с эквайрингом</t>
  </si>
  <si>
    <t xml:space="preserve">Мои записи: перенос, отмена, «записаться снова»</t>
  </si>
  <si>
    <t xml:space="preserve">Прототип: belyaevartemg-sudo.github.io/ritm — вкладка «Мои записи»: перенос, отмена, «Записаться снова»</t>
  </si>
  <si>
    <t xml:space="preserve">Чаты и платное продвижение у станции метро</t>
  </si>
  <si>
    <t xml:space="preserve">После запуска</t>
  </si>
  <si>
    <t xml:space="preserve">Прототип: belyaevartemg-sudo.github.io/ritm — вкладки «Чаты» и «Тариф → Продвижение». В MVP чаты заменяет кнопка «Написать в Telegram», продвижение запускаем позже — оплата из OPEX</t>
  </si>
  <si>
    <t xml:space="preserve">Итого MVP (строки с этапом «MVP»)</t>
  </si>
  <si>
    <t xml:space="preserve">Часы = экраны × сложность × часы роли на экран (UX 10, Frontend 18, Backend 12, QA 8) — [допущение] модели, сверено с рынком на листе «Разработка». В CAPEX попадают только функции с этапом «MVP»; «После запуска» оплачивается из OPEX (техподдержка и доработки). Экраны посчитаны по прототипу. Сложность 1,0 — простая форма, 1,5 — своя логика или внешняя интеграция [допущение].</t>
  </si>
  <si>
    <t xml:space="preserve">Роль</t>
  </si>
  <si>
    <t xml:space="preserve">ЗП/мес</t>
  </si>
  <si>
    <t xml:space="preserve">Ставка ₽/час</t>
  </si>
  <si>
    <t xml:space="preserve">Базовые часы</t>
  </si>
  <si>
    <t xml:space="preserve">Часы от функций</t>
  </si>
  <si>
    <t xml:space="preserve">Итого часов (с учётом ИИ)</t>
  </si>
  <si>
    <t xml:space="preserve">ФОТ</t>
  </si>
  <si>
    <t xml:space="preserve">Страховые взносы</t>
  </si>
  <si>
    <t xml:space="preserve">Итого</t>
  </si>
  <si>
    <t xml:space="preserve">Источник / обоснование</t>
  </si>
  <si>
    <t xml:space="preserve">Product Manager</t>
  </si>
  <si>
    <t xml:space="preserve">ЗП: медиана «менеджеры в IT», Москва — 260 000 ₽ (Хабр Карьера, 1-е полугодие 2026). Часы [допущение]: половина ставки на 3 месяца MVP</t>
  </si>
  <si>
    <t xml:space="preserve">UX/UI Designer</t>
  </si>
  <si>
    <t xml:space="preserve">ЗП: средняя UX/UI в Москве ≈120 000 ₽ (quick-offer.ru, 26.03.2026). Базовых часов нет: дизайн-система и айдентика уже готовы в прототипе</t>
  </si>
  <si>
    <t xml:space="preserve">Frontend Developer</t>
  </si>
  <si>
    <t xml:space="preserve">ЗП: медиана разработчиков, Москва — 270 000 ₽ (Хабр Карьера, 28.08.2026). Базовые часы [допущение]: каркас приложения, навигация, вход</t>
  </si>
  <si>
    <t xml:space="preserve">Backend Developer</t>
  </si>
  <si>
    <t xml:space="preserve">ЗП: медиана бэкенда, Москва — 278 000 ₽ (Хабр Карьера, 1-е полугодие 2026). Базовые часы [допущение]: архитектура, база данных, API, авторизация, каркас админки</t>
  </si>
  <si>
    <t xml:space="preserve">QA Engineer</t>
  </si>
  <si>
    <t xml:space="preserve">ЗП: медиана тестировщиков — 163 000 ₽, по России (Хабр Карьера, 1-е полугодие 2026). Базовые часы [допущение]: тест-план и регресс перед релизом</t>
  </si>
  <si>
    <t xml:space="preserve">DevOps Engineer</t>
  </si>
  <si>
    <t xml:space="preserve">ЗП: прокси — медиана администраторов, Москва — 229 000 ₽ (Хабр Карьера, 1-е полугодие 2026; по DevOps отдельной цифры нет). Часы [допущение]: облако, CI/CD, мониторинг</t>
  </si>
  <si>
    <t xml:space="preserve">Итого разработка без резерва</t>
  </si>
  <si>
    <t xml:space="preserve">Резерв на непредвиденные работы</t>
  </si>
  <si>
    <t xml:space="preserve">Итого CAPEX / разработка MVP</t>
  </si>
  <si>
    <t xml:space="preserve">Итого часов = (базовые + часы от функций) × (1 − сокращение за счёт ИИ, лист «Вводные»); для менеджера продукта без сокращения. 160 рабочих часов в месяц = 8 часов × 20 рабочих дней. Резерв 20% — по рекомендации PMI. Разработка MVP оплачивается один раз в месяц 0, дальше доработки идут через OPEX.</t>
  </si>
  <si>
    <t xml:space="preserve">Сверка с рынком</t>
  </si>
  <si>
    <t xml:space="preserve">Итого часов на MVP (с резервом)</t>
  </si>
  <si>
    <t xml:space="preserve">Ёмкость команды из 4 человек за 3 месяца, часов</t>
  </si>
  <si>
    <t xml:space="preserve">Purrweb, 2026: MVP — 2–3 месяца, команда около 4 человек (дизайнер, 1–2 разработчика, QA, PM)</t>
  </si>
  <si>
    <t xml:space="preserve">Стоимость MVP у агентства со сложной логикой и интеграциями, млн ₽</t>
  </si>
  <si>
    <t xml:space="preserve">3–6</t>
  </si>
  <si>
    <t xml:space="preserve">Purrweb, 2026: MVP 1,5–6 млн ₽; со сложной логикой или интеграциями — 3–6 млн ₽. Наша оценка включает страховые взносы 30% и резерв 20%</t>
  </si>
  <si>
    <t xml:space="preserve">Наша оценка CAPEX, млн ₽</t>
  </si>
  <si>
    <t xml:space="preserve">Категория</t>
  </si>
  <si>
    <t xml:space="preserve">Формула/допущение</t>
  </si>
  <si>
    <t xml:space="preserve">Стоимость в год</t>
  </si>
  <si>
    <t xml:space="preserve">Стоимость в месяц</t>
  </si>
  <si>
    <t xml:space="preserve">Разработчик: поддержка и доработки</t>
  </si>
  <si>
    <t xml:space="preserve">Медианная зарплата разработчика × ставка (Вводные, строка 33) × (1 + взносы)</t>
  </si>
  <si>
    <t xml:space="preserve">Хостинг, хранение фото, аналитика</t>
  </si>
  <si>
    <t xml:space="preserve">Облачные серверы, хранилище фото, аналитика (расшифровка ниже)</t>
  </si>
  <si>
    <t xml:space="preserve">Команда после запуска</t>
  </si>
  <si>
    <t xml:space="preserve">Менеджер по привлечению мастеров, основатели (расшифровка ниже)</t>
  </si>
  <si>
    <t xml:space="preserve">Поддержка и модерация мастеров</t>
  </si>
  <si>
    <t xml:space="preserve">Ответы мастерам и клиентам, модерация профилей и отзывов (расшифровка ниже)</t>
  </si>
  <si>
    <t xml:space="preserve">Бухгалтерия и юрист</t>
  </si>
  <si>
    <t xml:space="preserve">Бухгалтерия на аутсорсе, юрист (расшифровка ниже)</t>
  </si>
  <si>
    <t xml:space="preserve">Итого OPEX</t>
  </si>
  <si>
    <t xml:space="preserve">Обслуживание</t>
  </si>
  <si>
    <t xml:space="preserve">Стоимость на единицу</t>
  </si>
  <si>
    <t xml:space="preserve">За что</t>
  </si>
  <si>
    <t xml:space="preserve">Проверка и подключение нового мастера</t>
  </si>
  <si>
    <t xml:space="preserve">Модерация анкеты + SMS с кодом подтверждения (расшифровка ниже)</t>
  </si>
  <si>
    <t xml:space="preserve">новый мастер</t>
  </si>
  <si>
    <t xml:space="preserve">Напоминание о записи (SMS; push и Telegram бесплатно)</t>
  </si>
  <si>
    <t xml:space="preserve">Цена SMS × доля напоминаний по SMS (расшифровка ниже)</t>
  </si>
  <si>
    <t xml:space="preserve">запись</t>
  </si>
  <si>
    <t xml:space="preserve">Расшифровка постоянных расходов</t>
  </si>
  <si>
    <t xml:space="preserve">Цена в месяц, ₽</t>
  </si>
  <si>
    <t xml:space="preserve">Кол-во</t>
  </si>
  <si>
    <t xml:space="preserve">Итого в месяц, ₽</t>
  </si>
  <si>
    <t xml:space="preserve">Облачный сервер 2 vCPU / 4 ГБ: приложение, база данных, тестовый стенд</t>
  </si>
  <si>
    <t xml:space="preserve">Timeweb Cloud, тариф MSK Ultra 50 — 5 480 ₽/мес</t>
  </si>
  <si>
    <t xml:space="preserve">Хранилище фото работ (S3), безлимитный объём</t>
  </si>
  <si>
    <t xml:space="preserve">Timeweb Cloud S3 — 639 ₽/мес</t>
  </si>
  <si>
    <t xml:space="preserve">Веб-аналитика (Яндекс Метрика)</t>
  </si>
  <si>
    <t xml:space="preserve">Бесплатный сервис</t>
  </si>
  <si>
    <t xml:space="preserve">Менеджер по привлечению мастеров (с взносами)</t>
  </si>
  <si>
    <t xml:space="preserve">hh.ru, вакансии «Менеджер по привлечению партнёров», 2026: от 100 000 ₽ + премия за клиента</t>
  </si>
  <si>
    <t xml:space="preserve">Основатели (с взносами)</t>
  </si>
  <si>
    <t xml:space="preserve">[решение команды] Основатели (6 человек) не получают зарплату</t>
  </si>
  <si>
    <t xml:space="preserve">Специалист поддержки и модерации (с взносами)</t>
  </si>
  <si>
    <t xml:space="preserve">Хабр Карьера, 1-е полугодие 2026: медиана техподдержки 98 000 ₽</t>
  </si>
  <si>
    <t xml:space="preserve">Бухгалтерия на аутсорсе (ООО на УСН с сотрудниками)</t>
  </si>
  <si>
    <t xml:space="preserve">Сравни: полный аутсорсинг бухгалтерии — от 12 200 ₽/мес (Фингуру)</t>
  </si>
  <si>
    <t xml:space="preserve">Юрист: оферта для мастеров, политика ПДн, уведомление в Роскомнадзор</t>
  </si>
  <si>
    <t xml:space="preserve">fl.ru, 2026: политика ПДн — 3 120 ₽, публичная оферта — 3 120 ₽, уведомление РКН — 2 080 ₽. Итого 8 320 ₽ разово; делим на 12 мес. — документы обновляем раз в год</t>
  </si>
  <si>
    <t xml:space="preserve">Расшифровка обслуживания</t>
  </si>
  <si>
    <t xml:space="preserve">Время модерации одного нового мастера</t>
  </si>
  <si>
    <t xml:space="preserve">[допущение] Проверка фото, документа и анкеты</t>
  </si>
  <si>
    <t xml:space="preserve">мин</t>
  </si>
  <si>
    <t xml:space="preserve">Стоимость часа специалиста поддержки с взносами</t>
  </si>
  <si>
    <t xml:space="preserve">Расчёт: зарплата × (1 + взносы) / 160 часов</t>
  </si>
  <si>
    <t xml:space="preserve">₽/час</t>
  </si>
  <si>
    <t xml:space="preserve">Цена одного SMS</t>
  </si>
  <si>
    <t xml:space="preserve">tproger, 2026: 2,5–6 ₽ за SMS у агрегаторов, берём середину</t>
  </si>
  <si>
    <t xml:space="preserve">Доля напоминаний по SMS (остальным — push или Telegram-бот бесплатно)</t>
  </si>
  <si>
    <t xml:space="preserve">[допущение]</t>
  </si>
  <si>
    <t xml:space="preserve">Канал</t>
  </si>
  <si>
    <t xml:space="preserve">Что входит</t>
  </si>
  <si>
    <t xml:space="preserve">Разовый бюджет</t>
  </si>
  <si>
    <t xml:space="preserve">Месячный бюджет</t>
  </si>
  <si>
    <t xml:space="preserve">Охват/мес (показы или просмотры)</t>
  </si>
  <si>
    <t xml:space="preserve">Конверсия</t>
  </si>
  <si>
    <t xml:space="preserve">Месяц старта</t>
  </si>
  <si>
    <t xml:space="preserve">Месяц окончания</t>
  </si>
  <si>
    <t xml:space="preserve">Результат/мес</t>
  </si>
  <si>
    <t xml:space="preserve">Расход/мес без разового</t>
  </si>
  <si>
    <t xml:space="preserve">CPM: цена 1 000 показов или просмотров, ₽</t>
  </si>
  <si>
    <t xml:space="preserve">Источник / расчёт (ссылки — лист «Источники»)</t>
  </si>
  <si>
    <t xml:space="preserve">Привлечение мастеров (результат — регистрации мастеров)</t>
  </si>
  <si>
    <t xml:space="preserve">Таргет VK на мастеров</t>
  </si>
  <si>
    <t xml:space="preserve">Мастера маникюра, бровей, ресниц по интересам и сообществам</t>
  </si>
  <si>
    <t xml:space="preserve">CPM VK Рекламы — click.ru, 2-й кв. 2026 (113,9 ₽). Стоимость регистрации мастера — 1 000 ₽: нижняя граница CPL в B2B для VK Рекламы (1 000–5 000 ₽, PressStart Digital, 2025–2026). Конверсия из показа в регистрацию = CPM / 1 000 / CPL ≈ 0,011%.</t>
  </si>
  <si>
    <t xml:space="preserve">Telegram Ads</t>
  </si>
  <si>
    <t xml:space="preserve">Реклама в каналах для бьюти-мастеров</t>
  </si>
  <si>
    <t xml:space="preserve">CPM: 3,2 € (средний для «Здоровье и фитнес», eLama, янв. 2026) × 94,32 ₽ (курс ЦБ, 04.10.2026). Конверсия из показа в регистрацию 0,049% — [допущение]</t>
  </si>
  <si>
    <t xml:space="preserve">Блогеры-мастера</t>
  </si>
  <si>
    <t xml:space="preserve">Обзоры кабинета мастера у мастеров с аудиторией коллег</t>
  </si>
  <si>
    <t xml:space="preserve">Цена просмотра ≈2 ₽ в лайфстайл-нишах (Unisender: 1–2 ₽; Workspace 2026: 2,8 ₽ в маркетинге). Конверсия из просмотра в регистрацию 0,15% — [допущение]</t>
  </si>
  <si>
    <t xml:space="preserve">Курсы и колледжи</t>
  </si>
  <si>
    <t xml:space="preserve">Промокоды выпускникам, мастер-классы в школах маникюра и бровей</t>
  </si>
  <si>
    <t xml:space="preserve">[допущение] 5 школ-партнёров × 40 выпускников в месяц; 10% регистрируются по промокоду. Разово — материалы и мастер-классы</t>
  </si>
  <si>
    <t xml:space="preserve">Посты в Telegram-каналах и чатах мастеров</t>
  </si>
  <si>
    <t xml:space="preserve">Посты в каналах и чатах для бьюти-мастеров</t>
  </si>
  <si>
    <t xml:space="preserve">Цена просмотра 1–2 ₽ в лайфстайл-каналах (Unisender 2026, эксперт BOcean), берём 1,5 ₽. Конверсия из просмотра в регистрацию 0,036% — [допущение]</t>
  </si>
  <si>
    <t xml:space="preserve">Привлечение клиентов в каталог (результат — новые клиенты)</t>
  </si>
  <si>
    <t xml:space="preserve">Геореклама в Яндекс Картах</t>
  </si>
  <si>
    <t xml:space="preserve">Баннер каталога в районах с мастерами</t>
  </si>
  <si>
    <t xml:space="preserve">От 200 ₽ за 1 000 показов, минимальный заказ 17 500 ₽ (Skillbox, данные 2023). Конверсия из показа в первую запись 0,086% — [допущение]</t>
  </si>
  <si>
    <t xml:space="preserve">Таргет VK на клиентов</t>
  </si>
  <si>
    <t xml:space="preserve">Женщины 20–45 лет в Москве, интерес к маникюру и бьюти</t>
  </si>
  <si>
    <t xml:space="preserve">[решение команды] Основной клиентский канал: самая низкая цена клиента. При росте бюджета цена клиента может вырасти — проверить на пилоте. CPM 113,9 ₽ — VK Реклама, click.ru, 2-й кв. 2026. Конверсия из показа в первую запись 0,076% — [допущение]: в кейсе таргета для студии маникюра выходило ≈0,036%, у каталога с подбором по манере закладываем выше. Клиентов пускаем с 3-го месяца, когда в каталоге уже есть мастера</t>
  </si>
  <si>
    <t xml:space="preserve">Регистрации мастеров</t>
  </si>
  <si>
    <t xml:space="preserve">Расходы на мастеров</t>
  </si>
  <si>
    <t xml:space="preserve">Новые клиенты</t>
  </si>
  <si>
    <t xml:space="preserve">Расходы на клиентов</t>
  </si>
  <si>
    <t xml:space="preserve">Маркетинговые расходы всего</t>
  </si>
  <si>
    <t xml:space="preserve">CPL мастера, ₽/регистрация</t>
  </si>
  <si>
    <t xml:space="preserve">Стоимость клиента, ₽</t>
  </si>
  <si>
    <t xml:space="preserve">CPL мастера</t>
  </si>
  <si>
    <t xml:space="preserve">Стоимость клиента</t>
  </si>
  <si>
    <t xml:space="preserve">Итого год 1</t>
  </si>
  <si>
    <t xml:space="preserve">Итого год 2</t>
  </si>
  <si>
    <t xml:space="preserve">Итого год 3</t>
  </si>
  <si>
    <t xml:space="preserve">Результат в месяц = охват × конверсия (регистрация мастера или первая запись клиента). Охват платных каналов = месячный бюджет / CPM × 1 000. Конверсия — сразу из показа или просмотра в результат. Мастеров привлекаем с 1-го месяца (после MVP), клиентов — с 3-го, когда каталог заполнен. Разовый бюджет списывается в месяц старта. «[допущение]» — цифру нужно проверить тестом. Итоги по годам (строки 23–25) — до учёта насыщения рынка, холодного старта и роста клиентского бюджета; итог с учётом всего этого — лист «3 года подробно», строки 5, 14 и 30.</t>
  </si>
  <si>
    <t xml:space="preserve">Источник</t>
  </si>
  <si>
    <t xml:space="preserve">Что взято</t>
  </si>
  <si>
    <t xml:space="preserve">Где используется</t>
  </si>
  <si>
    <t xml:space="preserve">Ссылка</t>
  </si>
  <si>
    <t xml:space="preserve">Росстат через Т—Ж, «Демография Москвы»</t>
  </si>
  <si>
    <t xml:space="preserve">7,10 млн женщин в Москве на 1.01.2025. Доля 20–45 лет ≈35% (≈2,5 млн) — наша оценка: публичной разбивки по возрасту нет</t>
  </si>
  <si>
    <t xml:space="preserve">Вводные!B53</t>
  </si>
  <si>
    <t xml:space="preserve">https://t-j.ru/demography-moscow/</t>
  </si>
  <si>
    <t xml:space="preserve">ДПиИР Москвы через РБК Отрасли (апрель 2025)</t>
  </si>
  <si>
    <t xml:space="preserve">Более 50 тыс. самозанятых в бьюти-индустрии Москвы; с мастерами без регистрации берём 65 тыс. (коридор 50–85 тыс. — оценка команды)</t>
  </si>
  <si>
    <t xml:space="preserve">Вводные!B3</t>
  </si>
  <si>
    <t xml:space="preserve">https://www.rbc.ru/industries/news/68623d939a79476674ac20ba</t>
  </si>
  <si>
    <t xml:space="preserve">Data Insight и Авито Услуги (Коммерсантъ, 09.08.2022)</t>
  </si>
  <si>
    <t xml:space="preserve">42% бьюти-мастеров ищут клиентов на Авито (опора для доли 60% онлайн; сама доля 60% и доля 70% мастеров в наших услугах — допущения команды, первоисточника нет)</t>
  </si>
  <si>
    <t xml:space="preserve">Вводные!B4, Вводные!B5</t>
  </si>
  <si>
    <t xml:space="preserve">https://www.kommersant.ru/doc/5502865</t>
  </si>
  <si>
    <t xml:space="preserve">СберАналитика, траты на красоту (янв.–нояб. 2025)</t>
  </si>
  <si>
    <t xml:space="preserve">Средний чек в салоне в Москве 3 190 ₽</t>
  </si>
  <si>
    <t xml:space="preserve">Вводные!B7</t>
  </si>
  <si>
    <t xml:space="preserve">https://sberanalytics.ru/researches/beauty-and-fashion-spendings</t>
  </si>
  <si>
    <t xml:space="preserve">Опрос Авито, 10 000 женщин (Mail.ru Финансы)</t>
  </si>
  <si>
    <t xml:space="preserve">14 визитов в год</t>
  </si>
  <si>
    <t xml:space="preserve">Вводные!B8</t>
  </si>
  <si>
    <t xml:space="preserve">https://finance.mail.ru/article/zhiteli-moskvyi-v-srednem-tratyat-13-tyis-rublej-v-mesyats-na-byuti-protseduryi-69201863/</t>
  </si>
  <si>
    <t xml:space="preserve">YCLIENTS через Webgard (сверено 24.09.2026)</t>
  </si>
  <si>
    <t xml:space="preserve">Ориентир цены: тариф частного специалиста от 1 600 ₽/мес. Наши 990 ₽ подписки и 1 490 ₽ продвижения — решение команды, ниже ближайшего аналога; проверим на пилоте</t>
  </si>
  <si>
    <t xml:space="preserve">Вводные!B21, Вводные!B22</t>
  </si>
  <si>
    <t xml:space="preserve">https://webgard.ru/blog/biznes/yclients/</t>
  </si>
  <si>
    <t xml:space="preserve">Профи.ру через HelmePro (12.07.2026)</t>
  </si>
  <si>
    <t xml:space="preserve">Ориентир: мастер платит ≈50–300 ₽ за каждый отклик на заказ, то есть платное продвижение для мастеров рынку привычно. Потолок доли 25% опирается на опрос Авито (строки 48–49)</t>
  </si>
  <si>
    <t xml:space="preserve">Вводные!B23</t>
  </si>
  <si>
    <t xml:space="preserve">https://helmepro.ru/stati/profi-ru-dlya-ispolniteley/</t>
  </si>
  <si>
    <t xml:space="preserve">Анкетолог, опрос о парикмахерских (2021, 2 200 чел., города 100 тыс.+)</t>
  </si>
  <si>
    <t xml:space="preserve">Контекст для цели: 64% клиентов имеют постоянного мастера, 21% — нет, 39% выбирают мастера по личным качествам. Цель 60% первых визитов «совпали» — целевой показатель команды, рыночного первоисточника нет; проверим на пилоте</t>
  </si>
  <si>
    <t xml:space="preserve">Вводные!B15</t>
  </si>
  <si>
    <t xml:space="preserve">https://iom.anketolog.ru/2021/05/04/parikmaherskie</t>
  </si>
  <si>
    <t xml:space="preserve">НК РФ (гл. 26.2, ст. 346.18; гл. 34)</t>
  </si>
  <si>
    <t xml:space="preserve">УСН 15%, минимальный налог 1%, страховые взносы 30%</t>
  </si>
  <si>
    <t xml:space="preserve">Вводные!B27, Вводные!B28, Вводные!B31</t>
  </si>
  <si>
    <t xml:space="preserve">https://www.consultant.ru/document/cons_doc_LAW_28165/</t>
  </si>
  <si>
    <t xml:space="preserve">PMI, «Accurate estimates — the 20 percent solution»</t>
  </si>
  <si>
    <t xml:space="preserve">Резерв 20% бюджета проекта (10% на известные и 10% на неизвестные риски)</t>
  </si>
  <si>
    <t xml:space="preserve">Вводные!B32 → Разработка!I9</t>
  </si>
  <si>
    <t xml:space="preserve">https://www.pmi.org/learning/library/accurate-estimates-20-percent-solution-9805</t>
  </si>
  <si>
    <t xml:space="preserve">click.ru, «Пульс click.ru», 2-й кв. 2026</t>
  </si>
  <si>
    <t xml:space="preserve">VK Реклама: CPM 113,9 ₽, CTR 1,24%</t>
  </si>
  <si>
    <t xml:space="preserve">Маркетинг!K3, F3, K10 (CPM VK)</t>
  </si>
  <si>
    <t xml:space="preserve">https://blog.click.ru/analytics/issledovanie-klyuchevyh-pokazateley-internet-reklamy/</t>
  </si>
  <si>
    <t xml:space="preserve">vc.ru, кейс таргета VK для студии маникюра (СПб, 22.04.2024)</t>
  </si>
  <si>
    <t xml:space="preserve">369 заявок клиенток по 313 ₽, конверсия из показа ≈0,036%</t>
  </si>
  <si>
    <t xml:space="preserve">Маркетинг!L10 (ориентир для конверсии таргета VK на клиентов)</t>
  </si>
  <si>
    <t xml:space="preserve">https://vc.ru/marketing/1139929-keis-target-vk-dlya-studii-manikyura-369-zayavok-po-313-v-pitere</t>
  </si>
  <si>
    <t xml:space="preserve">eLama, CPM в Telegram Ads (январь 2026)</t>
  </si>
  <si>
    <t xml:space="preserve">Средний CPM «Здоровье и фитнес» 3,2 €; формула CTR по CPC и CPM</t>
  </si>
  <si>
    <t xml:space="preserve">Маркетинг!K4, F4</t>
  </si>
  <si>
    <t xml:space="preserve">https://elama.ru/blog/vse-chto-nuzhno-znat-o-cpm-v-telegram-ads/</t>
  </si>
  <si>
    <t xml:space="preserve">ppt.ru, курс ЦБ на 04.10.2026</t>
  </si>
  <si>
    <t xml:space="preserve">1 € = 94,32 ₽</t>
  </si>
  <si>
    <t xml:space="preserve">Маркетинг!K4</t>
  </si>
  <si>
    <t xml:space="preserve">https://ppt.ru/currencies/eur/04-10-2026</t>
  </si>
  <si>
    <t xml:space="preserve">Unisender, «Сколько стоит реклама в Telegram в 2026»</t>
  </si>
  <si>
    <t xml:space="preserve">Цена просмотра 1–2 ₽ в лайфстайл-каналах (эксперт BOcean)</t>
  </si>
  <si>
    <t xml:space="preserve">Маркетинг!K5, K7</t>
  </si>
  <si>
    <t xml:space="preserve">https://www.unisender.com/ru/blog/skolko-stoit-reklama-v-telegram/</t>
  </si>
  <si>
    <t xml:space="preserve">Workspace, «Сколько стоит реклама у блогеров в 2026»</t>
  </si>
  <si>
    <t xml:space="preserve">Средняя цена просмотра 2,8 ₽ (Telegram, маркетинг)</t>
  </si>
  <si>
    <t xml:space="preserve">Маркетинг!K5</t>
  </si>
  <si>
    <t xml:space="preserve">https://workspace.ru/blog/skolko-stoit-reklama-u-blogerov-v-2026-godu-ceny-i-kak-ne-pereplatit/</t>
  </si>
  <si>
    <t xml:space="preserve">Skillbox, руководство по рекламе в Яндекс Картах (2023)</t>
  </si>
  <si>
    <t xml:space="preserve">Геобаннер от 200 ₽ за 1 000 показов, минимальный заказ 17 500 ₽</t>
  </si>
  <si>
    <t xml:space="preserve">Маркетинг!K10, D10</t>
  </si>
  <si>
    <t xml:space="preserve">https://skillbox.ru/media/marketing/rukovodstvo-po-reklame-na-yandeks-kartakh-kak-ona-rabotaet-skolko-stoit-i-kak-nastroit/</t>
  </si>
  <si>
    <t xml:space="preserve">Решения и допущения модели</t>
  </si>
  <si>
    <t xml:space="preserve">Бюджеты каналов, месяцы старта, всё про курсы и колледжи (5 школ × 40 выпускников, 10%, разово 30 000 ₽); сложность функций, базовые часы ролей; часы роли на экран (10/18/12/8); 160 ч/мес; старт OPEX с месяца 1; зарплата основателей 0, время модерации 15 мин, доля SMS 30%; повтор при совпадении 40%, доля переносимой базы 30%, старт продвижения с 4-го месяца; конверсии каналов Telegram Ads, блогеров, постов, Яндекс Карт и таргета VK на клиентов</t>
  </si>
  <si>
    <t xml:space="preserve">Маркетинг!C:H (помечены «[допущение]» в столбце L); Функции!E2:E14, F:I; Разработка!C2:D7; Вводные!B16, B24, B30, B39; OPEX!C18, C24, C27; Маркетинг!F4, F5, F7, F9, F10</t>
  </si>
  <si>
    <t xml:space="preserve">—</t>
  </si>
  <si>
    <t xml:space="preserve">Хабр Карьера, «Зарплаты IT-специалистов в первой половине 2026 года»</t>
  </si>
  <si>
    <t xml:space="preserve">Медианы в Москве: бэкенд 278 000 ₽, менеджеры в IT 260 000 ₽, администраторы 229 000 ₽ (прокси DevOps)</t>
  </si>
  <si>
    <t xml:space="preserve">Разработка!B2, B5, B7</t>
  </si>
  <si>
    <t xml:space="preserve">https://habr.com/ru/specials/1060148/</t>
  </si>
  <si>
    <t xml:space="preserve">Хабр Карьера, «Сколько зарабатывают разработчики в 2026 году» (28.08.2026)</t>
  </si>
  <si>
    <t xml:space="preserve">Медиана разработчиков в Москве 270 000 ₽</t>
  </si>
  <si>
    <t xml:space="preserve">Разработка!B4 → OPEX!C2 (разработчик после MVP)</t>
  </si>
  <si>
    <t xml:space="preserve">https://habr.com/ru/companies/habr_career/articles/1075936/</t>
  </si>
  <si>
    <t xml:space="preserve">Хабр Карьера, «Где в IT зарплаты растут быстрее всего в 2026 году»</t>
  </si>
  <si>
    <t xml:space="preserve">Медиана тестировщиков 163 000 ₽; медиана техподдержки 98 000 ₽ (Россия)</t>
  </si>
  <si>
    <t xml:space="preserve">Разработка!B6; OPEX!C19 → OPEX!C5</t>
  </si>
  <si>
    <t xml:space="preserve">https://habr.com/ru/companies/habr_career/articles/1083850/</t>
  </si>
  <si>
    <t xml:space="preserve">quick-offer.ru, «Зарплата UX/UI-дизайнера в России: обзор на 2026 год» (26.03.2026)</t>
  </si>
  <si>
    <t xml:space="preserve">Средняя зарплата UX/UI-дизайнера в Москве ≈120 000 ₽</t>
  </si>
  <si>
    <t xml:space="preserve">Разработка!B3</t>
  </si>
  <si>
    <t xml:space="preserve">https://quick-offer.ru/news/ux-ui-designers-salary</t>
  </si>
  <si>
    <t xml:space="preserve">Purrweb, «Стоимость разработки MVP в 2026 году» (обновлено 01.05.2026)</t>
  </si>
  <si>
    <t xml:space="preserve">MVP 1,5–6 млн ₽, со сложной логикой 3–6 млн ₽; 2–3 месяца; команда около 4 человек</t>
  </si>
  <si>
    <t xml:space="preserve">Разработка!F16, F17 (сверка с рынком)</t>
  </si>
  <si>
    <t xml:space="preserve">https://www.purrweb.com/ru/blog/stoimost-razrabotki-mvp/</t>
  </si>
  <si>
    <t xml:space="preserve">Прототип команды «Камертон»</t>
  </si>
  <si>
    <t xml:space="preserve">Список функций и число экранов</t>
  </si>
  <si>
    <t xml:space="preserve">Функции!A2:D14, J2:J14</t>
  </si>
  <si>
    <t xml:space="preserve">https://belyaevartemg-sudo.github.io/ritm/</t>
  </si>
  <si>
    <t xml:space="preserve">Edana, «Estimating software maintenance costs» (03.01.2026)</t>
  </si>
  <si>
    <t xml:space="preserve">Поддержка ПО в год — 15–25% от первоначальной разработки (берём нижнюю границу 15%)</t>
  </si>
  <si>
    <t xml:space="preserve">Вводные!B33 (сверка ставки разработчика)</t>
  </si>
  <si>
    <t xml:space="preserve">https://edana.ch/en/2026/01/03/estimating-software-maintenance-costs-the-forgotten-key-to-total-cost-of-ownership/</t>
  </si>
  <si>
    <t xml:space="preserve">Timeweb Cloud, VPS/VDS (тарифы MSK Ultra)</t>
  </si>
  <si>
    <t xml:space="preserve">Сервер 2 vCPU / 4 ГБ / 50 ГБ NVMe — 5 480 ₽/мес</t>
  </si>
  <si>
    <t xml:space="preserve">OPEX!C14 → OPEX!C3</t>
  </si>
  <si>
    <t xml:space="preserve">https://timeweb.cloud/services/vds-vps</t>
  </si>
  <si>
    <t xml:space="preserve">Timeweb Cloud, S3-хранилище</t>
  </si>
  <si>
    <t xml:space="preserve">Безлимитный объём — 639 ₽/мес</t>
  </si>
  <si>
    <t xml:space="preserve">OPEX!C15 → OPEX!C3</t>
  </si>
  <si>
    <t xml:space="preserve">https://timeweb.cloud/services/s3-storage</t>
  </si>
  <si>
    <t xml:space="preserve">hh.ru, вакансия «Менеджер по привлечению партнёров» (2026)</t>
  </si>
  <si>
    <t xml:space="preserve">От 100 000 ₽ до вычета налогов + премия за привлечённого клиента</t>
  </si>
  <si>
    <t xml:space="preserve">OPEX!C17 → OPEX!C4</t>
  </si>
  <si>
    <t xml:space="preserve">https://hh.ru/vacancy/135858138</t>
  </si>
  <si>
    <t xml:space="preserve">hh.ru, вакансия «Менеджер по привлечению партнёров» (2026, удалённо)</t>
  </si>
  <si>
    <t xml:space="preserve">От 100 000 ₽ + премия</t>
  </si>
  <si>
    <t xml:space="preserve">OPEX!C17</t>
  </si>
  <si>
    <t xml:space="preserve">https://hh.ru/vacancy/135983851</t>
  </si>
  <si>
    <t xml:space="preserve">Сравни, бухгалтерское обслуживание ООО на УСН</t>
  </si>
  <si>
    <t xml:space="preserve">Полный аутсорсинг бухгалтерии — от 12 200 ₽/мес; онлайн-сервисы — от 0–3 500 ₽/мес</t>
  </si>
  <si>
    <t xml:space="preserve">OPEX!C20 → OPEX!C6</t>
  </si>
  <si>
    <t xml:space="preserve">https://www.sravni.ru/biznes-accounting/ooo-usn/</t>
  </si>
  <si>
    <t xml:space="preserve">tproger, «12 лучших сервисов рассылки SMS в 2026 году»</t>
  </si>
  <si>
    <t xml:space="preserve">Цена SMS 2,5–6 ₽</t>
  </si>
  <si>
    <t xml:space="preserve">OPEX!C26 → OPEX!C10, C11</t>
  </si>
  <si>
    <t xml:space="preserve">https://tproger.ru/articles/12-luchwih-servisov-rassylki-sms-v-2026-godu</t>
  </si>
  <si>
    <t xml:space="preserve">Visionary Marketing, 2026 SaaS Trial Cohort Study</t>
  </si>
  <si>
    <t xml:space="preserve">С менеджером в пробный период (PLG + sales-assist) 30,5%, без него 22,1%; пробный период 14 дней — 28,4% против 21,8% у 30 дней</t>
  </si>
  <si>
    <t xml:space="preserve">Вводные!B11</t>
  </si>
  <si>
    <t xml:space="preserve">https://visionary-marketing.co.uk/blog/saas-free-trial-conversion-statistics-2026</t>
  </si>
  <si>
    <t xml:space="preserve">SaaStr, «Which is the churn benchmark for SaaS?»</t>
  </si>
  <si>
    <t xml:space="preserve">Очень малый бизнес: отток 3–5% в месяц. Старт 5%, снижение к 3%</t>
  </si>
  <si>
    <t xml:space="preserve">Вводные!B12, Вводные!B69</t>
  </si>
  <si>
    <t xml:space="preserve">https://www.saastr.com/which-is-the-churn-benchmark-for-saas</t>
  </si>
  <si>
    <t xml:space="preserve">Коммерсантъ, 11.05.2026 (данные YCLIENTS)</t>
  </si>
  <si>
    <t xml:space="preserve">Медианный доход частного мастера в Москве 166 200 ₽ (март 2026)</t>
  </si>
  <si>
    <t xml:space="preserve">Вводные!B36 → B37, B38, B14</t>
  </si>
  <si>
    <t xml:space="preserve">https://www.kommersant.ru/doc/8637271</t>
  </si>
  <si>
    <t xml:space="preserve">crmindex.ru, руководство для салонов красоты от CRM «Арника» (02.07.2021)</t>
  </si>
  <si>
    <t xml:space="preserve">Через месяц после первого визита возвращаются ~20% клиентов, через год — 6%</t>
  </si>
  <si>
    <t xml:space="preserve">Вводные!B41, B42 → B17, B19</t>
  </si>
  <si>
    <t xml:space="preserve">https://crmindex.ru/blog/rukovodstvo-dlya-salonov-krasoty-ot-crm-arnika</t>
  </si>
  <si>
    <t xml:space="preserve">quasa.io, «ЮKassa или CloudPayments» (2026)</t>
  </si>
  <si>
    <t xml:space="preserve">Базовая комиссия ЮKassa по картам 3,5% + НДС с комиссии</t>
  </si>
  <si>
    <t xml:space="preserve">Вводные!B44 → B26</t>
  </si>
  <si>
    <t xml:space="preserve">https://quasa.io/ru/media/yukassa-ili-cloudpayments-podpiski-menyayut-vybor-platezhnogo-servisa</t>
  </si>
  <si>
    <t xml:space="preserve">НК РФ, ст. 164 (ставка НДС 22% с 2026 года)</t>
  </si>
  <si>
    <t xml:space="preserve">Ставка НДС 22%</t>
  </si>
  <si>
    <t xml:space="preserve">Вводные!B45 → B26</t>
  </si>
  <si>
    <t xml:space="preserve">fl.ru, «Составлю политику конфиденциальности для сайта по 152-ФЗ» (2026)</t>
  </si>
  <si>
    <t xml:space="preserve">Политика ПДн 3 120 ₽, публичная оферта 3 120 ₽, уведомление РКН 2 080 ₽</t>
  </si>
  <si>
    <t xml:space="preserve">OPEX!C21 → OPEX!C6</t>
  </si>
  <si>
    <t xml:space="preserve">https://www.fl.ru/uslugi-freelancera/20725/sostavlyu-politiku-konfidencialnosti-dlya-sayta-po-trebovaniyam-152-fz.html</t>
  </si>
  <si>
    <t xml:space="preserve">McKinsey, «A coding boost from AI» (2023)</t>
  </si>
  <si>
    <t xml:space="preserve">С генеративным ИИ: генерация кода быстрее на 35–45%, документация — на 45–50%, рефакторинг — на 20–30%</t>
  </si>
  <si>
    <t xml:space="preserve">Вводные!B34 → Разработка!F3:F7</t>
  </si>
  <si>
    <t xml:space="preserve">https://www.mckinsey.com/featured-insights/week-in-charts/a-coding-boost-from-ai</t>
  </si>
  <si>
    <t xml:space="preserve">Peng et al., «The Impact of AI on Developer Productivity: Evidence from GitHub Copilot» (2023)</t>
  </si>
  <si>
    <t xml:space="preserve">Разработчики с Copilot выполнили задачу на 55,8% быстрее контрольной группы</t>
  </si>
  <si>
    <t xml:space="preserve">Вводные!B34</t>
  </si>
  <si>
    <t xml:space="preserve">https://arxiv.org/abs/2302.06590</t>
  </si>
  <si>
    <t xml:space="preserve">METR, исследование опытных разработчиков (10.07.2025)</t>
  </si>
  <si>
    <t xml:space="preserve">Контраргумент: в больших зрелых кодовых базах опытные разработчики с ИИ работали на 19% медленнее; METR пишет, что данные 2026 года это уже не отражают</t>
  </si>
  <si>
    <t xml:space="preserve">Вводные!B34 (ограничение допущения)</t>
  </si>
  <si>
    <t xml:space="preserve">https://metr.org/blog/2025-07-10-early-2025-ai-experienced-os-dev-study/</t>
  </si>
  <si>
    <t xml:space="preserve">GrowSurf, «SaaS referral statistics» (данные OpenView Partners)</t>
  </si>
  <si>
    <t xml:space="preserve">SaaS-компании получают 20–40% новых клиентов через рекомендации и сарафан</t>
  </si>
  <si>
    <t xml:space="preserve">Вводные!B55 (проверка доли сарафана)</t>
  </si>
  <si>
    <t xml:space="preserve">https://growsurf.com/statistics/saas-referral-statistics/</t>
  </si>
  <si>
    <t xml:space="preserve">SaaStr, «What percent of my revenue should come from referrals and word of mouth?»</t>
  </si>
  <si>
    <t xml:space="preserve">Опрос IT-компаний: 29% новых клиентов — через сарафан; ориентир для стартапа — от 20%</t>
  </si>
  <si>
    <t xml:space="preserve">https://www.saastr.com/what-percentage-of-sales-in-a-saas-startup-should-come-from-referrals</t>
  </si>
  <si>
    <t xml:space="preserve">Bass F. M., «A New Product Growth for Model Consumer Durables», Management Science, 1969</t>
  </si>
  <si>
    <t xml:space="preserve">Модель распространения новых продуктов: приток = (p + q·N/K) × (K − N); в модели — в виде коэффициента (1 − N/K) к притоку из рекламы и сарафана</t>
  </si>
  <si>
    <t xml:space="preserve">3 года подробно!B44:AL45 → строки 5, 6, 14</t>
  </si>
  <si>
    <t xml:space="preserve">https://doi.org/10.1287/mnsc.15.5.215</t>
  </si>
  <si>
    <t xml:space="preserve">PressStart Digital, «Таргет VK для бизнеса 2026» (бенчмарки открытых кейсов и кампаний PSD, 2025–2026)</t>
  </si>
  <si>
    <t xml:space="preserve">CPL в B2B: VK Реклама 1 000–5 000 ₽, Telegram Ads 300–1 500 ₽, Яндекс Директ 500–3 000 ₽. Берём нижнюю границу для VK — 1 000 ₽ за регистрацию мастера</t>
  </si>
  <si>
    <t xml:space="preserve">Маркетинг!F3, L3</t>
  </si>
  <si>
    <t xml:space="preserve">https://pressstartdigital.ru/articles/target-vk-business.html</t>
  </si>
  <si>
    <t xml:space="preserve">Допущения связи каталога с мастерами</t>
  </si>
  <si>
    <t xml:space="preserve">Цель 2,5 записи из каталога на мастера в месяц, чувствительность оттока и конверсии 0,5, рост клиентского бюджета вместе с мастерами. Публичных данных о связи числа клиентов из каталога с оттоком мастеров не нашли — измерить на пилоте</t>
  </si>
  <si>
    <t xml:space="preserve">Вводные!B63:B67 → 3 года подробно!строки 50–55</t>
  </si>
  <si>
    <t xml:space="preserve">Опрос Авито, 10 тыс. жителей России (CNews, 19.03.2026)</t>
  </si>
  <si>
    <t xml:space="preserve">31% исполнителей тратят на продвижение до 5 тыс. ₽/мес, 10% — 5–10 тыс. ₽; средний бюджет 8,8 тыс. ₽/мес</t>
  </si>
  <si>
    <t xml:space="preserve">Вводные!B23, B71 → 3 года подробно!строка 57</t>
  </si>
  <si>
    <t xml:space="preserve">https://www.cnews.ru/news/line/2026-03-19_kazhdyj_tretij_ispolnitel</t>
  </si>
  <si>
    <t xml:space="preserve">Опрос Авито, Петербург (Петербургский дневник, 25.03.2026)</t>
  </si>
  <si>
    <t xml:space="preserve">49% исполнителей пользуются платными инструментами продвижения; средний бюджет ≈8 тыс. ₽/мес</t>
  </si>
  <si>
    <t xml:space="preserve">https://spbdnevnik.ru/news/2026-03-25/pochti-kazhdyy-vtoroy-ispolnitel-v-sankt-peterburge-nakhodit-klientov-cherez-avito</t>
  </si>
  <si>
    <t xml:space="preserve">Саби (saby.ru), «Новые лимиты и ставки по УСН в 2026 году»</t>
  </si>
  <si>
    <t xml:space="preserve">Порог освобождения от НДС на УСН 20 млн ₽ в 2026–2028 годах; НДС со следующего месяца после превышения; ставки 5% и 7%</t>
  </si>
  <si>
    <t xml:space="preserve">Вводные!B74:B77</t>
  </si>
  <si>
    <t xml:space="preserve">https://saby.ru/articles/accounting/limity_i_stavki_usn</t>
  </si>
  <si>
    <t xml:space="preserve">Простые решения (spmag.ru), 08.07.2026: закон № 228-ФЗ от 04.07.2026</t>
  </si>
  <si>
    <t xml:space="preserve">Порог 20 млн ₽ сохранён до 2028 года; 15 млн ₽ в 2029-м, 10 млн ₽ с 2030-го</t>
  </si>
  <si>
    <t xml:space="preserve">Вводные!B74:B76</t>
  </si>
  <si>
    <t xml:space="preserve">https://spmag.ru/news/usn-porog-vyruchki-dlya-osvobozhdeniya-ot-nds-mogut-sohranit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</si>
</sst>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#,##0.0"/>
    <numFmt numFmtId="168" formatCode="0.00%"/>
    <numFmt numFmtId="169" formatCode="0"/>
    <numFmt numFmtId="170" formatCode="0.0"/>
    <numFmt numFmtId="171" formatCode="0%"/>
    <numFmt numFmtId="172" formatCode="0.000"/>
    <numFmt numFmtId="173" formatCode="0.0000"/>
    <numFmt numFmtId="174" formatCode="0.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204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sz val="10"/>
      <name val="Arial"/>
      <family val="2"/>
    </font>
    <font>
      <sz val="11"/>
      <color rgb="FF0000FF"/>
      <name val="Calibri"/>
      <family val="2"/>
      <charset val="204"/>
    </font>
    <font>
      <i val="true"/>
      <sz val="11"/>
      <color rgb="FF7F7F7F"/>
      <name val="Calibri"/>
      <family val="2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563C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71F3E"/>
      <rgbColor rgb="FFFFFFCC"/>
      <rgbColor rgb="FFD9EA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A8580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Чистая прибыль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'3 года подробно'!$B$40:$AL$40</c:f>
              <c:numCache>
                <c:formatCode>#,##0</c:formatCode>
                <c:ptCount val="37"/>
                <c:pt idx="0">
                  <c:v>-3085641</c:v>
                </c:pt>
                <c:pt idx="1">
                  <c:v>-516655.792666293</c:v>
                </c:pt>
                <c:pt idx="2">
                  <c:v>-531817.164135908</c:v>
                </c:pt>
                <c:pt idx="3">
                  <c:v>-543697.185163248</c:v>
                </c:pt>
                <c:pt idx="4">
                  <c:v>-452940.947253026</c:v>
                </c:pt>
                <c:pt idx="5">
                  <c:v>-376342.700981311</c:v>
                </c:pt>
                <c:pt idx="6">
                  <c:v>-299993.613929386</c:v>
                </c:pt>
                <c:pt idx="7">
                  <c:v>-224128.821068821</c:v>
                </c:pt>
                <c:pt idx="8">
                  <c:v>-149084.903325896</c:v>
                </c:pt>
                <c:pt idx="9">
                  <c:v>-75201.9752519532</c:v>
                </c:pt>
                <c:pt idx="10">
                  <c:v>-2767.88168858185</c:v>
                </c:pt>
                <c:pt idx="11">
                  <c:v>67990.8412036911</c:v>
                </c:pt>
                <c:pt idx="12">
                  <c:v>130185.511712139</c:v>
                </c:pt>
                <c:pt idx="13">
                  <c:v>181555.37699082</c:v>
                </c:pt>
                <c:pt idx="14">
                  <c:v>242243.376601926</c:v>
                </c:pt>
                <c:pt idx="15">
                  <c:v>303263.795187895</c:v>
                </c:pt>
                <c:pt idx="16">
                  <c:v>364709.757253261</c:v>
                </c:pt>
                <c:pt idx="17">
                  <c:v>426632.613399997</c:v>
                </c:pt>
                <c:pt idx="18">
                  <c:v>489054.674690428</c:v>
                </c:pt>
                <c:pt idx="19">
                  <c:v>551977.61909855</c:v>
                </c:pt>
                <c:pt idx="20">
                  <c:v>615388.705827038</c:v>
                </c:pt>
                <c:pt idx="21">
                  <c:v>679265.377279406</c:v>
                </c:pt>
                <c:pt idx="22">
                  <c:v>743578.672075126</c:v>
                </c:pt>
                <c:pt idx="23">
                  <c:v>808295.748231116</c:v>
                </c:pt>
                <c:pt idx="24">
                  <c:v>873381.73388762</c:v>
                </c:pt>
                <c:pt idx="25">
                  <c:v>686601.850538887</c:v>
                </c:pt>
                <c:pt idx="26">
                  <c:v>748739.357419512</c:v>
                </c:pt>
                <c:pt idx="27">
                  <c:v>811126.265254365</c:v>
                </c:pt>
                <c:pt idx="28">
                  <c:v>873731.244522941</c:v>
                </c:pt>
                <c:pt idx="29">
                  <c:v>936524.50481438</c:v>
                </c:pt>
                <c:pt idx="30">
                  <c:v>999477.923184935</c:v>
                </c:pt>
                <c:pt idx="31">
                  <c:v>1062565.0873031</c:v>
                </c:pt>
                <c:pt idx="32">
                  <c:v>1125761.27811024</c:v>
                </c:pt>
                <c:pt idx="33">
                  <c:v>1189043.41102715</c:v>
                </c:pt>
                <c:pt idx="34">
                  <c:v>1252389.95021602</c:v>
                </c:pt>
                <c:pt idx="35">
                  <c:v>1315780.8068244</c:v>
                </c:pt>
                <c:pt idx="36">
                  <c:v>1379197.22930827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951324"/>
        <c:axId val="91744264"/>
      </c:lineChart>
      <c:catAx>
        <c:axId val="329513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Номер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744264"/>
        <c:crosses val="autoZero"/>
        <c:auto val="1"/>
        <c:lblAlgn val="ctr"/>
        <c:lblOffset val="100"/>
        <c:noMultiLvlLbl val="0"/>
      </c:catAx>
      <c:valAx>
        <c:axId val="917442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Чистая прибыль, руб.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951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Накопленная прибыль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71f3e"/>
            </a:solidFill>
            <a:ln cap="rnd" w="28440">
              <a:solidFill>
                <a:srgbClr val="971f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'3 года подробно'!$B$41:$AL$41</c:f>
              <c:numCache>
                <c:formatCode>#,##0</c:formatCode>
                <c:ptCount val="37"/>
                <c:pt idx="0">
                  <c:v>-3085641</c:v>
                </c:pt>
                <c:pt idx="1">
                  <c:v>-3602296.79266629</c:v>
                </c:pt>
                <c:pt idx="2">
                  <c:v>-4134113.9568022</c:v>
                </c:pt>
                <c:pt idx="3">
                  <c:v>-4677811.14196545</c:v>
                </c:pt>
                <c:pt idx="4">
                  <c:v>-5130752.08921847</c:v>
                </c:pt>
                <c:pt idx="5">
                  <c:v>-5507094.79019979</c:v>
                </c:pt>
                <c:pt idx="6">
                  <c:v>-5807088.40412917</c:v>
                </c:pt>
                <c:pt idx="7">
                  <c:v>-6031217.22519799</c:v>
                </c:pt>
                <c:pt idx="8">
                  <c:v>-6180302.12852389</c:v>
                </c:pt>
                <c:pt idx="9">
                  <c:v>-6255504.10377584</c:v>
                </c:pt>
                <c:pt idx="10">
                  <c:v>-6258271.98546443</c:v>
                </c:pt>
                <c:pt idx="11">
                  <c:v>-6190281.14426073</c:v>
                </c:pt>
                <c:pt idx="12">
                  <c:v>-6060095.6325486</c:v>
                </c:pt>
                <c:pt idx="13">
                  <c:v>-5878540.25555778</c:v>
                </c:pt>
                <c:pt idx="14">
                  <c:v>-5636296.87895585</c:v>
                </c:pt>
                <c:pt idx="15">
                  <c:v>-5333033.08376795</c:v>
                </c:pt>
                <c:pt idx="16">
                  <c:v>-4968323.32651469</c:v>
                </c:pt>
                <c:pt idx="17">
                  <c:v>-4541690.7131147</c:v>
                </c:pt>
                <c:pt idx="18">
                  <c:v>-4052636.03842427</c:v>
                </c:pt>
                <c:pt idx="19">
                  <c:v>-3500658.41932572</c:v>
                </c:pt>
                <c:pt idx="20">
                  <c:v>-2885269.71349868</c:v>
                </c:pt>
                <c:pt idx="21">
                  <c:v>-2206004.33621927</c:v>
                </c:pt>
                <c:pt idx="22">
                  <c:v>-1462425.66414415</c:v>
                </c:pt>
                <c:pt idx="23">
                  <c:v>-654129.91591303</c:v>
                </c:pt>
                <c:pt idx="24">
                  <c:v>219251.81797459</c:v>
                </c:pt>
                <c:pt idx="25">
                  <c:v>905853.668513477</c:v>
                </c:pt>
                <c:pt idx="26">
                  <c:v>1654593.02593299</c:v>
                </c:pt>
                <c:pt idx="27">
                  <c:v>2465719.29118735</c:v>
                </c:pt>
                <c:pt idx="28">
                  <c:v>3339450.53571029</c:v>
                </c:pt>
                <c:pt idx="29">
                  <c:v>4275975.04052468</c:v>
                </c:pt>
                <c:pt idx="30">
                  <c:v>5275452.96370961</c:v>
                </c:pt>
                <c:pt idx="31">
                  <c:v>6338018.05101271</c:v>
                </c:pt>
                <c:pt idx="32">
                  <c:v>7463779.32912295</c:v>
                </c:pt>
                <c:pt idx="33">
                  <c:v>8652822.74015009</c:v>
                </c:pt>
                <c:pt idx="34">
                  <c:v>9905212.69036611</c:v>
                </c:pt>
                <c:pt idx="35">
                  <c:v>11220993.4971905</c:v>
                </c:pt>
                <c:pt idx="36">
                  <c:v>12600190.7264988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100803"/>
        <c:axId val="2820489"/>
      </c:lineChart>
      <c:catAx>
        <c:axId val="621008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Номер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20489"/>
        <c:crosses val="autoZero"/>
        <c:auto val="1"/>
        <c:lblAlgn val="ctr"/>
        <c:lblOffset val="100"/>
        <c:noMultiLvlLbl val="0"/>
      </c:catAx>
      <c:valAx>
        <c:axId val="28204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Накопленная прибыль, руб.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1008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Платящих мастеров на конец месяца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71f3e"/>
            </a:solidFill>
            <a:ln cap="rnd" w="28440">
              <a:solidFill>
                <a:srgbClr val="971f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'3 года подробно'!$B$10:$AL$10</c:f>
              <c:numCache>
                <c:formatCode>#,##0</c:formatCode>
                <c:ptCount val="37"/>
                <c:pt idx="0">
                  <c:v>0</c:v>
                </c:pt>
                <c:pt idx="1">
                  <c:v>23.7143855187638</c:v>
                </c:pt>
                <c:pt idx="2">
                  <c:v>71.6752950112106</c:v>
                </c:pt>
                <c:pt idx="3">
                  <c:v>122.518369009206</c:v>
                </c:pt>
                <c:pt idx="4">
                  <c:v>196.844500056983</c:v>
                </c:pt>
                <c:pt idx="5">
                  <c:v>263.933711523096</c:v>
                </c:pt>
                <c:pt idx="6">
                  <c:v>328.290249077536</c:v>
                </c:pt>
                <c:pt idx="7">
                  <c:v>390.461779302289</c:v>
                </c:pt>
                <c:pt idx="8">
                  <c:v>450.650705742037</c:v>
                </c:pt>
                <c:pt idx="9">
                  <c:v>508.933649846501</c:v>
                </c:pt>
                <c:pt idx="10">
                  <c:v>565.345227649971</c:v>
                </c:pt>
                <c:pt idx="11">
                  <c:v>619.907147412521</c:v>
                </c:pt>
                <c:pt idx="12">
                  <c:v>672.639531824527</c:v>
                </c:pt>
                <c:pt idx="13">
                  <c:v>724.776006804755</c:v>
                </c:pt>
                <c:pt idx="14">
                  <c:v>776.781309140535</c:v>
                </c:pt>
                <c:pt idx="15">
                  <c:v>828.851787227025</c:v>
                </c:pt>
                <c:pt idx="16">
                  <c:v>881.12477058906</c:v>
                </c:pt>
                <c:pt idx="17">
                  <c:v>933.691590821523</c:v>
                </c:pt>
                <c:pt idx="18">
                  <c:v>986.610515692154</c:v>
                </c:pt>
                <c:pt idx="19">
                  <c:v>1039.9157474296</c:v>
                </c:pt>
                <c:pt idx="20">
                  <c:v>1093.62390121602</c:v>
                </c:pt>
                <c:pt idx="21">
                  <c:v>1147.73874197622</c:v>
                </c:pt>
                <c:pt idx="22">
                  <c:v>1202.25469037644</c:v>
                </c:pt>
                <c:pt idx="23">
                  <c:v>1257.15944135978</c:v>
                </c:pt>
                <c:pt idx="24">
                  <c:v>1312.43593197494</c:v>
                </c:pt>
                <c:pt idx="25">
                  <c:v>1368.06382544071</c:v>
                </c:pt>
                <c:pt idx="26">
                  <c:v>1424.02063148747</c:v>
                </c:pt>
                <c:pt idx="27">
                  <c:v>1480.28255079028</c:v>
                </c:pt>
                <c:pt idx="28">
                  <c:v>1536.825108706</c:v>
                </c:pt>
                <c:pt idx="29">
                  <c:v>1593.62362737138</c:v>
                </c:pt>
                <c:pt idx="30">
                  <c:v>1650.65357346918</c:v>
                </c:pt>
                <c:pt idx="31">
                  <c:v>1707.89081028516</c:v>
                </c:pt>
                <c:pt idx="32">
                  <c:v>1765.31177616723</c:v>
                </c:pt>
                <c:pt idx="33">
                  <c:v>1822.89360655418</c:v>
                </c:pt>
                <c:pt idx="34">
                  <c:v>1880.61421294592</c:v>
                </c:pt>
                <c:pt idx="35">
                  <c:v>1938.45232924866</c:v>
                </c:pt>
                <c:pt idx="36">
                  <c:v>1996.38753363602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885058"/>
        <c:axId val="21304459"/>
      </c:lineChart>
      <c:catAx>
        <c:axId val="54885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Номер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304459"/>
        <c:crosses val="autoZero"/>
        <c:auto val="1"/>
        <c:lblAlgn val="ctr"/>
        <c:lblOffset val="100"/>
        <c:noMultiLvlLbl val="0"/>
      </c:catAx>
      <c:valAx>
        <c:axId val="213044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Мастеров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8850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Постоянных клиентов на конец месяца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8a8580"/>
            </a:solidFill>
            <a:ln cap="rnd" w="28440">
              <a:solidFill>
                <a:srgbClr val="8a85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'3 года подробно'!$B$18:$AL$18</c:f>
              <c:numCache>
                <c:formatCode>#,##0</c:formatCode>
                <c:ptCount val="37"/>
                <c:pt idx="0">
                  <c:v>0</c:v>
                </c:pt>
                <c:pt idx="1">
                  <c:v>308.287011743929</c:v>
                </c:pt>
                <c:pt idx="2">
                  <c:v>914.738581846318</c:v>
                </c:pt>
                <c:pt idx="3">
                  <c:v>1524.59117256165</c:v>
                </c:pt>
                <c:pt idx="4">
                  <c:v>2550.81263599896</c:v>
                </c:pt>
                <c:pt idx="5">
                  <c:v>3416.25314746707</c:v>
                </c:pt>
                <c:pt idx="6">
                  <c:v>4190.3640991741</c:v>
                </c:pt>
                <c:pt idx="7">
                  <c:v>4887.97164531955</c:v>
                </c:pt>
                <c:pt idx="8">
                  <c:v>5518.31242294196</c:v>
                </c:pt>
                <c:pt idx="9">
                  <c:v>6088.1762480017</c:v>
                </c:pt>
                <c:pt idx="10">
                  <c:v>6603.15462555906</c:v>
                </c:pt>
                <c:pt idx="11">
                  <c:v>7068.1190314501</c:v>
                </c:pt>
                <c:pt idx="12">
                  <c:v>7487.43985194615</c:v>
                </c:pt>
                <c:pt idx="13">
                  <c:v>7890.01846512482</c:v>
                </c:pt>
                <c:pt idx="14">
                  <c:v>8283.99478550749</c:v>
                </c:pt>
                <c:pt idx="15">
                  <c:v>8671.43010894644</c:v>
                </c:pt>
                <c:pt idx="16">
                  <c:v>9053.83691019415</c:v>
                </c:pt>
                <c:pt idx="17">
                  <c:v>9432.25858260111</c:v>
                </c:pt>
                <c:pt idx="18">
                  <c:v>9807.41070135427</c:v>
                </c:pt>
                <c:pt idx="19">
                  <c:v>10179.7762392024</c:v>
                </c:pt>
                <c:pt idx="20">
                  <c:v>10549.6729341857</c:v>
                </c:pt>
                <c:pt idx="21">
                  <c:v>10917.3015773301</c:v>
                </c:pt>
                <c:pt idx="22">
                  <c:v>11282.7809579077</c:v>
                </c:pt>
                <c:pt idx="23">
                  <c:v>11646.1732884813</c:v>
                </c:pt>
                <c:pt idx="24">
                  <c:v>12007.5027280708</c:v>
                </c:pt>
                <c:pt idx="25">
                  <c:v>12366.7688401578</c:v>
                </c:pt>
                <c:pt idx="26">
                  <c:v>12723.9563007488</c:v>
                </c:pt>
                <c:pt idx="27">
                  <c:v>13079.0418150218</c:v>
                </c:pt>
                <c:pt idx="28">
                  <c:v>13431.998951462</c:v>
                </c:pt>
                <c:pt idx="29">
                  <c:v>13782.8014239998</c:v>
                </c:pt>
                <c:pt idx="30">
                  <c:v>14131.4252227094</c:v>
                </c:pt>
                <c:pt idx="31">
                  <c:v>14477.8498973242</c:v>
                </c:pt>
                <c:pt idx="32">
                  <c:v>14822.0592254187</c:v>
                </c:pt>
                <c:pt idx="33">
                  <c:v>15164.0414419968</c:v>
                </c:pt>
                <c:pt idx="34">
                  <c:v>15503.7891648959</c:v>
                </c:pt>
                <c:pt idx="35">
                  <c:v>15841.2991176848</c:v>
                </c:pt>
                <c:pt idx="36">
                  <c:v>16176.5717263283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428398"/>
        <c:axId val="36550391"/>
      </c:lineChart>
      <c:catAx>
        <c:axId val="984283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Номер месяца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550391"/>
        <c:crosses val="autoZero"/>
        <c:auto val="1"/>
        <c:lblAlgn val="ctr"/>
        <c:lblOffset val="100"/>
        <c:noMultiLvlLbl val="0"/>
      </c:catAx>
      <c:valAx>
        <c:axId val="365503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ru-RU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ru-RU" sz="1000" spc="-1" strike="noStrike">
                    <a:solidFill>
                      <a:srgbClr val="595959"/>
                    </a:solidFill>
                    <a:latin typeface="Calibri"/>
                  </a:rPr>
                  <a:t>Клиентов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428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411480</xdr:colOff>
      <xdr:row>64</xdr:row>
      <xdr:rowOff>95400</xdr:rowOff>
    </xdr:from>
    <xdr:to>
      <xdr:col>8</xdr:col>
      <xdr:colOff>470520</xdr:colOff>
      <xdr:row>85</xdr:row>
      <xdr:rowOff>135360</xdr:rowOff>
    </xdr:to>
    <xdr:graphicFrame>
      <xdr:nvGraphicFramePr>
        <xdr:cNvPr id="0" name="Chart 1"/>
        <xdr:cNvGraphicFramePr/>
      </xdr:nvGraphicFramePr>
      <xdr:xfrm>
        <a:off x="4781520" y="12001680"/>
        <a:ext cx="647316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411480</xdr:colOff>
      <xdr:row>87</xdr:row>
      <xdr:rowOff>95400</xdr:rowOff>
    </xdr:from>
    <xdr:to>
      <xdr:col>8</xdr:col>
      <xdr:colOff>470520</xdr:colOff>
      <xdr:row>108</xdr:row>
      <xdr:rowOff>135720</xdr:rowOff>
    </xdr:to>
    <xdr:graphicFrame>
      <xdr:nvGraphicFramePr>
        <xdr:cNvPr id="1" name="Chart 2"/>
        <xdr:cNvGraphicFramePr/>
      </xdr:nvGraphicFramePr>
      <xdr:xfrm>
        <a:off x="4781520" y="16164000"/>
        <a:ext cx="6473160" cy="38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411480</xdr:colOff>
      <xdr:row>110</xdr:row>
      <xdr:rowOff>95400</xdr:rowOff>
    </xdr:from>
    <xdr:to>
      <xdr:col>8</xdr:col>
      <xdr:colOff>470520</xdr:colOff>
      <xdr:row>131</xdr:row>
      <xdr:rowOff>135360</xdr:rowOff>
    </xdr:to>
    <xdr:graphicFrame>
      <xdr:nvGraphicFramePr>
        <xdr:cNvPr id="2" name="Chart 3"/>
        <xdr:cNvGraphicFramePr/>
      </xdr:nvGraphicFramePr>
      <xdr:xfrm>
        <a:off x="4781520" y="20326680"/>
        <a:ext cx="6473160" cy="384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411480</xdr:colOff>
      <xdr:row>133</xdr:row>
      <xdr:rowOff>95400</xdr:rowOff>
    </xdr:from>
    <xdr:to>
      <xdr:col>8</xdr:col>
      <xdr:colOff>470520</xdr:colOff>
      <xdr:row>154</xdr:row>
      <xdr:rowOff>135360</xdr:rowOff>
    </xdr:to>
    <xdr:graphicFrame>
      <xdr:nvGraphicFramePr>
        <xdr:cNvPr id="3" name="Chart 4"/>
        <xdr:cNvGraphicFramePr/>
      </xdr:nvGraphicFramePr>
      <xdr:xfrm>
        <a:off x="4781520" y="24489000"/>
        <a:ext cx="647316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t-j.ru/demography-moscow/" TargetMode="External"/><Relationship Id="rId2" Type="http://schemas.openxmlformats.org/officeDocument/2006/relationships/hyperlink" Target="https://www.rbc.ru/industries/news/68623d939a79476674ac20ba" TargetMode="External"/><Relationship Id="rId3" Type="http://schemas.openxmlformats.org/officeDocument/2006/relationships/hyperlink" Target="https://www.kommersant.ru/doc/5502865" TargetMode="External"/><Relationship Id="rId4" Type="http://schemas.openxmlformats.org/officeDocument/2006/relationships/hyperlink" Target="https://sberanalytics.ru/researches/beauty-and-fashion-spendings" TargetMode="External"/><Relationship Id="rId5" Type="http://schemas.openxmlformats.org/officeDocument/2006/relationships/hyperlink" Target="https://finance.mail.ru/article/zhiteli-moskvyi-v-srednem-tratyat-13-tyis-rublej-v-mesyats-na-byuti-protseduryi-69201863/" TargetMode="External"/><Relationship Id="rId6" Type="http://schemas.openxmlformats.org/officeDocument/2006/relationships/hyperlink" Target="https://webgard.ru/blog/biznes/yclients/" TargetMode="External"/><Relationship Id="rId7" Type="http://schemas.openxmlformats.org/officeDocument/2006/relationships/hyperlink" Target="https://helmepro.ru/stati/profi-ru-dlya-ispolniteley/" TargetMode="External"/><Relationship Id="rId8" Type="http://schemas.openxmlformats.org/officeDocument/2006/relationships/hyperlink" Target="https://iom.anketolog.ru/2021/05/04/parikmaherskie" TargetMode="External"/><Relationship Id="rId9" Type="http://schemas.openxmlformats.org/officeDocument/2006/relationships/hyperlink" Target="https://www.consultant.ru/document/cons_doc_LAW_28165/" TargetMode="External"/><Relationship Id="rId10" Type="http://schemas.openxmlformats.org/officeDocument/2006/relationships/hyperlink" Target="https://www.pmi.org/learning/library/accurate-estimates-20-percent-solution-9805" TargetMode="External"/><Relationship Id="rId11" Type="http://schemas.openxmlformats.org/officeDocument/2006/relationships/hyperlink" Target="https://blog.click.ru/analytics/issledovanie-klyuchevyh-pokazateley-internet-reklamy/" TargetMode="External"/><Relationship Id="rId12" Type="http://schemas.openxmlformats.org/officeDocument/2006/relationships/hyperlink" Target="https://vc.ru/marketing/1139929-keis-target-vk-dlya-studii-manikyura-369-zayavok-po-313-v-pitere" TargetMode="External"/><Relationship Id="rId13" Type="http://schemas.openxmlformats.org/officeDocument/2006/relationships/hyperlink" Target="https://elama.ru/blog/vse-chto-nuzhno-znat-o-cpm-v-telegram-ads/" TargetMode="External"/><Relationship Id="rId14" Type="http://schemas.openxmlformats.org/officeDocument/2006/relationships/hyperlink" Target="https://ppt.ru/currencies/eur/04-10-2026" TargetMode="External"/><Relationship Id="rId15" Type="http://schemas.openxmlformats.org/officeDocument/2006/relationships/hyperlink" Target="https://www.unisender.com/ru/blog/skolko-stoit-reklama-v-telegram/" TargetMode="External"/><Relationship Id="rId16" Type="http://schemas.openxmlformats.org/officeDocument/2006/relationships/hyperlink" Target="https://workspace.ru/blog/skolko-stoit-reklama-u-blogerov-v-2026-godu-ceny-i-kak-ne-pereplatit/" TargetMode="External"/><Relationship Id="rId17" Type="http://schemas.openxmlformats.org/officeDocument/2006/relationships/hyperlink" Target="https://skillbox.ru/media/marketing/rukovodstvo-po-reklame-na-yandeks-kartakh-kak-ona-rabotaet-skolko-stoit-i-kak-nastroit/" TargetMode="External"/><Relationship Id="rId18" Type="http://schemas.openxmlformats.org/officeDocument/2006/relationships/hyperlink" Target="https://habr.com/ru/specials/1060148/" TargetMode="External"/><Relationship Id="rId19" Type="http://schemas.openxmlformats.org/officeDocument/2006/relationships/hyperlink" Target="https://habr.com/ru/companies/habr_career/articles/1075936/" TargetMode="External"/><Relationship Id="rId20" Type="http://schemas.openxmlformats.org/officeDocument/2006/relationships/hyperlink" Target="https://habr.com/ru/companies/habr_career/articles/1083850/" TargetMode="External"/><Relationship Id="rId21" Type="http://schemas.openxmlformats.org/officeDocument/2006/relationships/hyperlink" Target="https://quick-offer.ru/news/ux-ui-designers-salary" TargetMode="External"/><Relationship Id="rId22" Type="http://schemas.openxmlformats.org/officeDocument/2006/relationships/hyperlink" Target="https://www.purrweb.com/ru/blog/stoimost-razrabotki-mvp/" TargetMode="External"/><Relationship Id="rId23" Type="http://schemas.openxmlformats.org/officeDocument/2006/relationships/hyperlink" Target="https://belyaevartemg-sudo.github.io/ritm/" TargetMode="External"/><Relationship Id="rId24" Type="http://schemas.openxmlformats.org/officeDocument/2006/relationships/hyperlink" Target="https://edana.ch/en/2026/01/03/estimating-software-maintenance-costs-the-forgotten-key-to-total-cost-of-ownership/" TargetMode="External"/><Relationship Id="rId25" Type="http://schemas.openxmlformats.org/officeDocument/2006/relationships/hyperlink" Target="https://timeweb.cloud/services/vds-vps" TargetMode="External"/><Relationship Id="rId26" Type="http://schemas.openxmlformats.org/officeDocument/2006/relationships/hyperlink" Target="https://timeweb.cloud/services/s3-storage" TargetMode="External"/><Relationship Id="rId27" Type="http://schemas.openxmlformats.org/officeDocument/2006/relationships/hyperlink" Target="https://hh.ru/vacancy/135858138" TargetMode="External"/><Relationship Id="rId28" Type="http://schemas.openxmlformats.org/officeDocument/2006/relationships/hyperlink" Target="https://hh.ru/vacancy/135983851" TargetMode="External"/><Relationship Id="rId29" Type="http://schemas.openxmlformats.org/officeDocument/2006/relationships/hyperlink" Target="https://www.sravni.ru/biznes-accounting/ooo-usn/" TargetMode="External"/><Relationship Id="rId30" Type="http://schemas.openxmlformats.org/officeDocument/2006/relationships/hyperlink" Target="https://tproger.ru/articles/12-luchwih-servisov-rassylki-sms-v-2026-godu" TargetMode="External"/><Relationship Id="rId31" Type="http://schemas.openxmlformats.org/officeDocument/2006/relationships/hyperlink" Target="https://visionary-marketing.co.uk/blog/saas-free-trial-conversion-statistics-2026" TargetMode="External"/><Relationship Id="rId32" Type="http://schemas.openxmlformats.org/officeDocument/2006/relationships/hyperlink" Target="https://www.saastr.com/which-is-the-churn-benchmark-for-saas" TargetMode="External"/><Relationship Id="rId33" Type="http://schemas.openxmlformats.org/officeDocument/2006/relationships/hyperlink" Target="https://www.kommersant.ru/doc/8637271" TargetMode="External"/><Relationship Id="rId34" Type="http://schemas.openxmlformats.org/officeDocument/2006/relationships/hyperlink" Target="https://crmindex.ru/blog/rukovodstvo-dlya-salonov-krasoty-ot-crm-arnika" TargetMode="External"/><Relationship Id="rId35" Type="http://schemas.openxmlformats.org/officeDocument/2006/relationships/hyperlink" Target="https://quasa.io/ru/media/yukassa-ili-cloudpayments-podpiski-menyayut-vybor-platezhnogo-servisa" TargetMode="External"/><Relationship Id="rId36" Type="http://schemas.openxmlformats.org/officeDocument/2006/relationships/hyperlink" Target="https://www.consultant.ru/document/cons_doc_LAW_28165/" TargetMode="External"/><Relationship Id="rId37" Type="http://schemas.openxmlformats.org/officeDocument/2006/relationships/hyperlink" Target="https://www.fl.ru/uslugi-freelancera/20725/sostavlyu-politiku-konfidencialnosti-dlya-sayta-po-trebovaniyam-152-fz.html" TargetMode="External"/><Relationship Id="rId38" Type="http://schemas.openxmlformats.org/officeDocument/2006/relationships/hyperlink" Target="https://www.mckinsey.com/featured-insights/week-in-charts/a-coding-boost-from-ai" TargetMode="External"/><Relationship Id="rId39" Type="http://schemas.openxmlformats.org/officeDocument/2006/relationships/hyperlink" Target="https://arxiv.org/abs/2302.06590" TargetMode="External"/><Relationship Id="rId40" Type="http://schemas.openxmlformats.org/officeDocument/2006/relationships/hyperlink" Target="https://metr.org/blog/2025-07-10-early-2025-ai-experienced-os-dev-study/" TargetMode="External"/><Relationship Id="rId41" Type="http://schemas.openxmlformats.org/officeDocument/2006/relationships/hyperlink" Target="https://growsurf.com/statistics/saas-referral-statistics/" TargetMode="External"/><Relationship Id="rId42" Type="http://schemas.openxmlformats.org/officeDocument/2006/relationships/hyperlink" Target="https://www.saastr.com/what-percentage-of-sales-in-a-saas-startup-should-come-from-referrals" TargetMode="External"/><Relationship Id="rId43" Type="http://schemas.openxmlformats.org/officeDocument/2006/relationships/hyperlink" Target="https://pressstartdigital.ru/articles/target-vk-business.html" TargetMode="External"/><Relationship Id="rId44" Type="http://schemas.openxmlformats.org/officeDocument/2006/relationships/hyperlink" Target="https://www.cnews.ru/news/line/2026-03-19_kazhdyj_tretij_ispolnitel" TargetMode="External"/><Relationship Id="rId45" Type="http://schemas.openxmlformats.org/officeDocument/2006/relationships/hyperlink" Target="https://spbdnevnik.ru/news/2026-03-25/pochti-kazhdyy-vtoroy-ispolnitel-v-sankt-peterburge-nakhodit-klientov-cherez-avito" TargetMode="External"/><Relationship Id="rId46" Type="http://schemas.openxmlformats.org/officeDocument/2006/relationships/hyperlink" Target="https://saby.ru/articles/accounting/limity_i_stavki_usn" TargetMode="External"/><Relationship Id="rId47" Type="http://schemas.openxmlformats.org/officeDocument/2006/relationships/hyperlink" Target="https://spmag.ru/news/usn-porog-vyruchki-dlya-osvobozhdeniya-ot-nds-mogut-sohran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23" activeCellId="0" sqref="C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20"/>
    <col collapsed="false" customWidth="true" hidden="false" outlineLevel="0" max="5" min="5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/>
      <c r="C2" s="4"/>
      <c r="D2" s="4"/>
      <c r="E2" s="4"/>
    </row>
    <row r="3" customFormat="false" ht="15" hidden="false" customHeight="true" outlineLevel="0" collapsed="false">
      <c r="A3" s="5" t="s">
        <v>6</v>
      </c>
      <c r="B3" s="6" t="n">
        <f aca="false">'3 года подробно'!N10</f>
        <v>672.639531824527</v>
      </c>
      <c r="C3" s="6" t="n">
        <f aca="false">'3 года подробно'!Z10</f>
        <v>1312.43593197494</v>
      </c>
      <c r="D3" s="6" t="n">
        <f aca="false">'3 года подробно'!AL10</f>
        <v>1996.38753363602</v>
      </c>
      <c r="E3" s="7" t="s">
        <v>7</v>
      </c>
    </row>
    <row r="4" customFormat="false" ht="15" hidden="false" customHeight="true" outlineLevel="0" collapsed="false">
      <c r="A4" s="8" t="s">
        <v>8</v>
      </c>
      <c r="B4" s="9" t="n">
        <f aca="false">SUM('3 года подробно'!B7:N7)</f>
        <v>2010.72478633107</v>
      </c>
      <c r="C4" s="9" t="n">
        <f aca="false">SUM('3 года подробно'!O7:Z7)</f>
        <v>2598.88786768351</v>
      </c>
      <c r="D4" s="9" t="n">
        <f aca="false">SUM('3 года подробно'!AA7:AL7)</f>
        <v>2932.61951380368</v>
      </c>
      <c r="E4" s="7" t="s">
        <v>9</v>
      </c>
    </row>
    <row r="5" customFormat="false" ht="15" hidden="false" customHeight="true" outlineLevel="0" collapsed="false">
      <c r="A5" s="8" t="s">
        <v>10</v>
      </c>
      <c r="B5" s="10" t="n">
        <f aca="false">'3 года подробно'!N11</f>
        <v>0.0246388106895431</v>
      </c>
      <c r="C5" s="10" t="n">
        <f aca="false">'3 года подробно'!Z11</f>
        <v>0.0480745762628183</v>
      </c>
      <c r="D5" s="10" t="n">
        <f aca="false">'3 года подробно'!AL11</f>
        <v>0.073127748484836</v>
      </c>
      <c r="E5" s="7" t="s">
        <v>11</v>
      </c>
    </row>
    <row r="6" customFormat="false" ht="15" hidden="false" customHeight="true" outlineLevel="0" collapsed="false">
      <c r="A6" s="8" t="s">
        <v>12</v>
      </c>
      <c r="B6" s="9" t="n">
        <f aca="false">'3 года подробно'!N18</f>
        <v>7487.43985194615</v>
      </c>
      <c r="C6" s="9" t="n">
        <f aca="false">'3 года подробно'!Z18</f>
        <v>12007.5027280708</v>
      </c>
      <c r="D6" s="9" t="n">
        <f aca="false">'3 года подробно'!AL18</f>
        <v>16176.5717263283</v>
      </c>
      <c r="E6" s="8"/>
    </row>
    <row r="7" customFormat="false" ht="15" hidden="false" customHeight="true" outlineLevel="0" collapsed="false">
      <c r="A7" s="8" t="s">
        <v>13</v>
      </c>
      <c r="B7" s="9" t="n">
        <f aca="false">SUM('3 года подробно'!B19:N19)</f>
        <v>64435.6799993221</v>
      </c>
      <c r="C7" s="9" t="n">
        <f aca="false">SUM('3 года подробно'!O19:Z19)</f>
        <v>150495.074538423</v>
      </c>
      <c r="D7" s="9" t="n">
        <f aca="false">SUM('3 года подробно'!AA19:AL19)</f>
        <v>218310.230087189</v>
      </c>
      <c r="E7" s="8"/>
    </row>
    <row r="8" customFormat="false" ht="15" hidden="false" customHeight="true" outlineLevel="0" collapsed="false">
      <c r="A8" s="8" t="s">
        <v>14</v>
      </c>
      <c r="B8" s="11" t="n">
        <f aca="false">'3 года подробно'!N20</f>
        <v>13.8512871308219</v>
      </c>
      <c r="C8" s="11" t="n">
        <f aca="false">'3 года подробно'!Z20</f>
        <v>11.5708608294349</v>
      </c>
      <c r="D8" s="11" t="n">
        <f aca="false">'3 года подробно'!AL20</f>
        <v>10.3611447128891</v>
      </c>
      <c r="E8" s="7" t="s">
        <v>15</v>
      </c>
    </row>
    <row r="9" customFormat="false" ht="15" hidden="false" customHeight="true" outlineLevel="0" collapsed="false">
      <c r="A9" s="8" t="s">
        <v>16</v>
      </c>
      <c r="B9" s="11" t="n">
        <f aca="false">'3 года подробно'!N53</f>
        <v>2.67919197720435</v>
      </c>
      <c r="C9" s="11" t="n">
        <f aca="false">'3 года подробно'!Z53</f>
        <v>2.98182228126131</v>
      </c>
      <c r="D9" s="11" t="n">
        <f aca="false">'3 года подробно'!AL53</f>
        <v>3.29781448638005</v>
      </c>
      <c r="E9" s="7" t="s">
        <v>17</v>
      </c>
    </row>
    <row r="10" customFormat="false" ht="15" hidden="false" customHeight="true" outlineLevel="0" collapsed="false">
      <c r="A10" s="8" t="s">
        <v>18</v>
      </c>
      <c r="B10" s="9" t="n">
        <f aca="false">SUM('3 года подробно'!B21:N21)</f>
        <v>205549819.197837</v>
      </c>
      <c r="C10" s="9" t="n">
        <f aca="false">SUM('3 года подробно'!O21:Z21)</f>
        <v>480079287.777569</v>
      </c>
      <c r="D10" s="9" t="n">
        <f aca="false">SUM('3 года подробно'!AA21:AL21)</f>
        <v>696409633.978133</v>
      </c>
      <c r="E10" s="7" t="s">
        <v>19</v>
      </c>
    </row>
    <row r="11" customFormat="false" ht="15" hidden="false" customHeight="true" outlineLevel="0" collapsed="false">
      <c r="A11" s="3" t="s">
        <v>20</v>
      </c>
      <c r="B11" s="4"/>
      <c r="C11" s="4"/>
      <c r="D11" s="4"/>
      <c r="E11" s="4"/>
    </row>
    <row r="12" customFormat="false" ht="15" hidden="false" customHeight="true" outlineLevel="0" collapsed="false">
      <c r="A12" s="8" t="s">
        <v>21</v>
      </c>
      <c r="B12" s="9" t="n">
        <f aca="false">SUM('3 года подробно'!B24:N24)</f>
        <v>4172765.4064549</v>
      </c>
      <c r="C12" s="9" t="n">
        <f aca="false">SUM('3 года подробно'!O24:Z24)</f>
        <v>12063114.790262</v>
      </c>
      <c r="D12" s="9" t="n">
        <f aca="false">SUM('3 года подробно'!AA24:AL24)</f>
        <v>19963369.3902412</v>
      </c>
      <c r="E12" s="8"/>
    </row>
    <row r="13" customFormat="false" ht="15" hidden="false" customHeight="true" outlineLevel="0" collapsed="false">
      <c r="A13" s="8" t="s">
        <v>22</v>
      </c>
      <c r="B13" s="9" t="n">
        <f aca="false">SUM('3 года подробно'!B25:N25)</f>
        <v>914650.30973</v>
      </c>
      <c r="C13" s="9" t="n">
        <f aca="false">SUM('3 года подробно'!O25:Z25)</f>
        <v>3943397.9055304</v>
      </c>
      <c r="D13" s="9" t="n">
        <f aca="false">SUM('3 года подробно'!AA25:AL25)</f>
        <v>7242653.17791338</v>
      </c>
      <c r="E13" s="8"/>
    </row>
    <row r="14" customFormat="false" ht="15" hidden="false" customHeight="true" outlineLevel="0" collapsed="false">
      <c r="A14" s="8" t="s">
        <v>23</v>
      </c>
      <c r="B14" s="9" t="n">
        <f aca="false">SUM('3 года подробно'!B27:N27)</f>
        <v>0</v>
      </c>
      <c r="C14" s="9" t="n">
        <f aca="false">SUM('3 года подробно'!O27:Z27)</f>
        <v>0</v>
      </c>
      <c r="D14" s="9" t="n">
        <f aca="false">SUM('3 года подробно'!AA27:AL27)</f>
        <v>1295524.88419784</v>
      </c>
      <c r="E14" s="8" t="s">
        <v>24</v>
      </c>
    </row>
    <row r="15" customFormat="false" ht="15" hidden="false" customHeight="true" outlineLevel="0" collapsed="false">
      <c r="A15" s="5" t="s">
        <v>25</v>
      </c>
      <c r="B15" s="6" t="n">
        <f aca="false">SUM('3 года подробно'!B26:N26)</f>
        <v>5087415.7161849</v>
      </c>
      <c r="C15" s="6" t="n">
        <f aca="false">SUM('3 года подробно'!O26:Z26)</f>
        <v>16006512.6957924</v>
      </c>
      <c r="D15" s="6" t="n">
        <f aca="false">SUM('3 года подробно'!AA26:AL26)</f>
        <v>25910497.6839567</v>
      </c>
      <c r="E15" s="7"/>
    </row>
    <row r="16" customFormat="false" ht="15" hidden="false" customHeight="true" outlineLevel="0" collapsed="false">
      <c r="A16" s="8" t="s">
        <v>26</v>
      </c>
      <c r="B16" s="10"/>
      <c r="C16" s="10" t="n">
        <f aca="false">IFERROR(C15/B15-1,0)</f>
        <v>2.14629540591108</v>
      </c>
      <c r="D16" s="10" t="n">
        <f aca="false">IFERROR(D15/C15-1,0)</f>
        <v>0.618747204740468</v>
      </c>
      <c r="E16" s="8"/>
    </row>
    <row r="17" customFormat="false" ht="15" hidden="false" customHeight="true" outlineLevel="0" collapsed="false">
      <c r="A17" s="3" t="s">
        <v>27</v>
      </c>
      <c r="B17" s="4"/>
      <c r="C17" s="4"/>
      <c r="D17" s="4"/>
      <c r="E17" s="4"/>
    </row>
    <row r="18" customFormat="false" ht="15" hidden="false" customHeight="true" outlineLevel="0" collapsed="false">
      <c r="A18" s="8" t="s">
        <v>28</v>
      </c>
      <c r="B18" s="9" t="n">
        <f aca="false">SUM('3 года подробно'!B29:N29)</f>
        <v>4501468</v>
      </c>
      <c r="C18" s="9" t="n">
        <f aca="false">SUM('3 года подробно'!O29:Z29)</f>
        <v>4501468</v>
      </c>
      <c r="D18" s="9" t="n">
        <f aca="false">SUM('3 года подробно'!AA29:AL29)</f>
        <v>4501468</v>
      </c>
      <c r="E18" s="7" t="s">
        <v>29</v>
      </c>
    </row>
    <row r="19" customFormat="false" ht="15" hidden="false" customHeight="true" outlineLevel="0" collapsed="false">
      <c r="A19" s="8" t="s">
        <v>30</v>
      </c>
      <c r="B19" s="9" t="n">
        <f aca="false">SUM('3 года подробно'!B30:N30)</f>
        <v>2806669.92256701</v>
      </c>
      <c r="C19" s="9" t="n">
        <f aca="false">SUM('3 года подробно'!O30:Z30)</f>
        <v>3673823.26912334</v>
      </c>
      <c r="D19" s="9" t="n">
        <f aca="false">SUM('3 года подробно'!AA30:AL30)</f>
        <v>4879363.62610867</v>
      </c>
      <c r="E19" s="7" t="s">
        <v>31</v>
      </c>
    </row>
    <row r="20" customFormat="false" ht="15" hidden="false" customHeight="true" outlineLevel="0" collapsed="false">
      <c r="A20" s="8" t="s">
        <v>32</v>
      </c>
      <c r="B20" s="9" t="n">
        <f aca="false">SUM('3 года подробно'!B31:N31)</f>
        <v>3085641</v>
      </c>
      <c r="C20" s="9" t="n">
        <f aca="false">SUM('3 года подробно'!O31:Z31)</f>
        <v>0</v>
      </c>
      <c r="D20" s="9" t="n">
        <f aca="false">SUM('3 года подробно'!AA31:AL31)</f>
        <v>0</v>
      </c>
      <c r="E20" s="7" t="s">
        <v>33</v>
      </c>
    </row>
    <row r="21" customFormat="false" ht="15" hidden="false" customHeight="true" outlineLevel="0" collapsed="false">
      <c r="A21" s="8" t="s">
        <v>34</v>
      </c>
      <c r="B21" s="9" t="n">
        <f aca="false">SUM('3 года подробно'!B32:N32)</f>
        <v>702858.269004635</v>
      </c>
      <c r="C21" s="9" t="n">
        <f aca="false">SUM('3 года подробно'!O32:Z32)</f>
        <v>1391808.84918792</v>
      </c>
      <c r="D21" s="9" t="n">
        <f aca="false">SUM('3 года подробно'!AA32:AL32)</f>
        <v>1963855.57723134</v>
      </c>
      <c r="E21" s="7" t="s">
        <v>35</v>
      </c>
    </row>
    <row r="22" customFormat="false" ht="15" hidden="false" customHeight="true" outlineLevel="0" collapsed="false">
      <c r="A22" s="3" t="s">
        <v>36</v>
      </c>
      <c r="B22" s="4"/>
      <c r="C22" s="4"/>
      <c r="D22" s="4"/>
      <c r="E22" s="4"/>
    </row>
    <row r="23" customFormat="false" ht="15" hidden="false" customHeight="true" outlineLevel="0" collapsed="false">
      <c r="A23" s="8" t="s">
        <v>37</v>
      </c>
      <c r="B23" s="9" t="n">
        <f aca="false">SUM('3 года подробно'!B35:N35)</f>
        <v>-6009221.47538675</v>
      </c>
      <c r="C23" s="9" t="n">
        <f aca="false">SUM('3 года подробно'!O35:Z35)</f>
        <v>6439412.57748111</v>
      </c>
      <c r="D23" s="9" t="n">
        <f aca="false">SUM('3 года подробно'!AA35:AL35)</f>
        <v>14565810.4806167</v>
      </c>
      <c r="E23" s="7" t="s">
        <v>38</v>
      </c>
    </row>
    <row r="24" customFormat="false" ht="15" hidden="false" customHeight="true" outlineLevel="0" collapsed="false">
      <c r="A24" s="8" t="s">
        <v>39</v>
      </c>
      <c r="B24" s="9" t="n">
        <f aca="false">SUM('3 года подробно'!B37:N37)</f>
        <v>50874.157161849</v>
      </c>
      <c r="C24" s="9" t="n">
        <f aca="false">SUM('3 года подробно'!O37:Z37)</f>
        <v>160065.126957924</v>
      </c>
      <c r="D24" s="9" t="n">
        <f aca="false">SUM('3 года подробно'!AA37:AL37)</f>
        <v>2184871.5720925</v>
      </c>
      <c r="E24" s="7" t="s">
        <v>40</v>
      </c>
    </row>
    <row r="25" customFormat="false" ht="15" hidden="false" customHeight="true" outlineLevel="0" collapsed="false">
      <c r="A25" s="5" t="s">
        <v>41</v>
      </c>
      <c r="B25" s="6" t="n">
        <f aca="false">SUM('3 года подробно'!B40:N40)</f>
        <v>-6060095.6325486</v>
      </c>
      <c r="C25" s="6" t="n">
        <f aca="false">SUM('3 года подробно'!O40:Z40)</f>
        <v>6279347.45052318</v>
      </c>
      <c r="D25" s="6" t="n">
        <f aca="false">SUM('3 года подробно'!AA40:AL40)</f>
        <v>12380938.9085242</v>
      </c>
      <c r="E25" s="8"/>
    </row>
    <row r="26" customFormat="false" ht="15" hidden="false" customHeight="true" outlineLevel="0" collapsed="false">
      <c r="A26" s="8" t="s">
        <v>42</v>
      </c>
      <c r="B26" s="12" t="n">
        <f aca="false">IFERROR(B25/B15,0)</f>
        <v>-1.19119332302042</v>
      </c>
      <c r="C26" s="12" t="n">
        <f aca="false">IFERROR(C25/C15,0)</f>
        <v>0.392299532687956</v>
      </c>
      <c r="D26" s="12" t="n">
        <f aca="false">IFERROR(D25/D15,0)</f>
        <v>0.477834855182663</v>
      </c>
      <c r="E26" s="8"/>
    </row>
    <row r="27" customFormat="false" ht="15" hidden="false" customHeight="true" outlineLevel="0" collapsed="false">
      <c r="A27" s="8" t="s">
        <v>43</v>
      </c>
      <c r="B27" s="6" t="n">
        <f aca="false">'3 года подробно'!N41</f>
        <v>-6060095.6325486</v>
      </c>
      <c r="C27" s="6" t="n">
        <f aca="false">'3 года подробно'!Z41</f>
        <v>219251.81797459</v>
      </c>
      <c r="D27" s="6" t="n">
        <f aca="false">'3 года подробно'!AL41</f>
        <v>12600190.7264988</v>
      </c>
      <c r="E27" s="7" t="s">
        <v>44</v>
      </c>
    </row>
    <row r="28" customFormat="false" ht="15" hidden="false" customHeight="true" outlineLevel="0" collapsed="false">
      <c r="A28" s="8" t="s">
        <v>45</v>
      </c>
      <c r="B28" s="10" t="n">
        <f aca="false">IFERROR(B25/SUM(B18:B21),0)</f>
        <v>-0.546120011669075</v>
      </c>
      <c r="C28" s="10" t="n">
        <f aca="false">IFERROR(SUM(B25:C25)/SUM(B18:C21),0)</f>
        <v>0.0106104628938409</v>
      </c>
      <c r="D28" s="10" t="n">
        <f aca="false">IFERROR(SUM(B25:D25)/SUM(B18:D21),0)</f>
        <v>0.393652324915072</v>
      </c>
      <c r="E28" s="7" t="s">
        <v>46</v>
      </c>
    </row>
    <row r="29" customFormat="false" ht="15" hidden="false" customHeight="true" outlineLevel="0" collapsed="false">
      <c r="A29" s="5" t="s">
        <v>47</v>
      </c>
      <c r="B29" s="6" t="n">
        <f aca="false">-MIN(0,MIN('3 года подробно'!B41:AL41))</f>
        <v>6258271.98546443</v>
      </c>
      <c r="E29" s="7" t="s">
        <v>48</v>
      </c>
    </row>
    <row r="30" customFormat="false" ht="15" hidden="false" customHeight="true" outlineLevel="0" collapsed="false">
      <c r="A30" s="8" t="s">
        <v>49</v>
      </c>
      <c r="B30" s="13" t="n">
        <f aca="false">IFERROR(MATCH(TRUE(),INDEX('3 года подробно'!C41:AL41&gt;0,0),0),"после 36")</f>
        <v>24</v>
      </c>
      <c r="C30" s="8" t="s">
        <v>50</v>
      </c>
      <c r="D30" s="8"/>
      <c r="E30" s="7" t="s">
        <v>51</v>
      </c>
    </row>
    <row r="31" customFormat="false" ht="15" hidden="false" customHeight="true" outlineLevel="0" collapsed="false">
      <c r="A31" s="3" t="s">
        <v>52</v>
      </c>
      <c r="B31" s="4"/>
      <c r="C31" s="4"/>
      <c r="D31" s="4"/>
      <c r="E31" s="4"/>
    </row>
    <row r="32" customFormat="false" ht="15" hidden="false" customHeight="true" outlineLevel="0" collapsed="false">
      <c r="A32" s="8" t="s">
        <v>53</v>
      </c>
      <c r="B32" s="9" t="n">
        <f aca="false">Вводные!$B$21+AVERAGE('3 года подробно'!F57:AL57)*Вводные!$B$22</f>
        <v>1294.61183416552</v>
      </c>
      <c r="C32" s="8" t="s">
        <v>54</v>
      </c>
      <c r="D32" s="8"/>
      <c r="E32" s="7" t="s">
        <v>55</v>
      </c>
    </row>
    <row r="33" customFormat="false" ht="15" hidden="false" customHeight="true" outlineLevel="0" collapsed="false">
      <c r="A33" s="8" t="s">
        <v>56</v>
      </c>
      <c r="B33" s="9" t="n">
        <f aca="false">IFERROR(SUM(Маркетинг!B15:N15)/(SUM('3 года подробно'!B8:N8)*SUM('3 года подробно'!B5:N5)/SUM('3 года подробно'!B7:N7)),0)</f>
        <v>3074.41584485126</v>
      </c>
      <c r="C33" s="8" t="s">
        <v>57</v>
      </c>
      <c r="D33" s="8"/>
      <c r="E33" s="7" t="s">
        <v>58</v>
      </c>
    </row>
    <row r="34" customFormat="false" ht="15" hidden="false" customHeight="true" outlineLevel="0" collapsed="false">
      <c r="A34" s="8" t="s">
        <v>59</v>
      </c>
      <c r="B34" s="9" t="n">
        <f aca="false">IFERROR(($B$32*(1-Вводные!$B$26)-AVERAGE('3 года подробно'!C20:AL20)*OPEX!$C$11)/AVERAGE('3 года подробно'!C56:AL56),0)</f>
        <v>33431.6691565301</v>
      </c>
      <c r="C34" s="8" t="s">
        <v>57</v>
      </c>
      <c r="D34" s="8"/>
      <c r="E34" s="7" t="s">
        <v>60</v>
      </c>
    </row>
    <row r="35" customFormat="false" ht="15" hidden="false" customHeight="true" outlineLevel="0" collapsed="false">
      <c r="A35" s="8" t="s">
        <v>61</v>
      </c>
      <c r="B35" s="14" t="n">
        <f aca="false">IFERROR(B34/B33,0)</f>
        <v>10.8741532842794</v>
      </c>
      <c r="E35" s="7" t="s">
        <v>62</v>
      </c>
    </row>
    <row r="36" customFormat="false" ht="15" hidden="false" customHeight="true" outlineLevel="0" collapsed="false">
      <c r="A36" s="8" t="s">
        <v>63</v>
      </c>
      <c r="B36" s="8" t="str">
        <f aca="false">IF(B34&gt;3*B33,"LTV больше 3*CAC","LTV меньше 3*CAC")</f>
        <v>LTV больше 3*CAC</v>
      </c>
    </row>
  </sheetData>
  <conditionalFormatting sqref="B26:D2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27:D27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25:D25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6"/>
    <col collapsed="false" customWidth="true" hidden="false" outlineLevel="0" max="4" min="4" style="15" width="95"/>
  </cols>
  <sheetData>
    <row r="1" customFormat="false" ht="15" hidden="false" customHeight="true" outlineLevel="0" collapsed="false">
      <c r="A1" s="2" t="s">
        <v>64</v>
      </c>
      <c r="B1" s="2" t="s">
        <v>65</v>
      </c>
      <c r="C1" s="2" t="s">
        <v>66</v>
      </c>
      <c r="D1" s="2" t="s">
        <v>67</v>
      </c>
    </row>
    <row r="2" customFormat="false" ht="15" hidden="false" customHeight="true" outlineLevel="0" collapsed="false">
      <c r="A2" s="3" t="s">
        <v>68</v>
      </c>
      <c r="B2" s="4"/>
      <c r="C2" s="4"/>
      <c r="D2" s="16"/>
    </row>
    <row r="3" customFormat="false" ht="15" hidden="false" customHeight="true" outlineLevel="0" collapsed="false">
      <c r="A3" s="8" t="s">
        <v>69</v>
      </c>
      <c r="B3" s="17" t="n">
        <v>65000</v>
      </c>
      <c r="C3" s="8" t="s">
        <v>70</v>
      </c>
      <c r="D3" s="7" t="s">
        <v>71</v>
      </c>
    </row>
    <row r="4" customFormat="false" ht="15" hidden="false" customHeight="true" outlineLevel="0" collapsed="false">
      <c r="A4" s="8" t="s">
        <v>72</v>
      </c>
      <c r="B4" s="18" t="n">
        <v>0.7</v>
      </c>
      <c r="C4" s="8" t="s">
        <v>73</v>
      </c>
      <c r="D4" s="7" t="s">
        <v>74</v>
      </c>
    </row>
    <row r="5" customFormat="false" ht="15" hidden="false" customHeight="true" outlineLevel="0" collapsed="false">
      <c r="A5" s="8" t="s">
        <v>75</v>
      </c>
      <c r="B5" s="18" t="n">
        <v>0.6</v>
      </c>
      <c r="C5" s="8" t="s">
        <v>73</v>
      </c>
      <c r="D5" s="7" t="s">
        <v>76</v>
      </c>
    </row>
    <row r="6" customFormat="false" ht="15" hidden="false" customHeight="true" outlineLevel="0" collapsed="false">
      <c r="A6" s="8" t="s">
        <v>77</v>
      </c>
      <c r="B6" s="9" t="n">
        <f aca="false">B3*B4*B5</f>
        <v>27300</v>
      </c>
      <c r="C6" s="8" t="s">
        <v>70</v>
      </c>
      <c r="D6" s="7" t="s">
        <v>78</v>
      </c>
    </row>
    <row r="7" customFormat="false" ht="15" hidden="false" customHeight="true" outlineLevel="0" collapsed="false">
      <c r="A7" s="8" t="s">
        <v>79</v>
      </c>
      <c r="B7" s="17" t="n">
        <v>3190</v>
      </c>
      <c r="C7" s="8" t="s">
        <v>57</v>
      </c>
      <c r="D7" s="7" t="s">
        <v>80</v>
      </c>
    </row>
    <row r="8" customFormat="false" ht="15" hidden="false" customHeight="true" outlineLevel="0" collapsed="false">
      <c r="A8" s="8" t="s">
        <v>81</v>
      </c>
      <c r="B8" s="17" t="n">
        <v>14</v>
      </c>
      <c r="C8" s="8" t="s">
        <v>82</v>
      </c>
      <c r="D8" s="7" t="s">
        <v>83</v>
      </c>
    </row>
    <row r="9" customFormat="false" ht="15" hidden="false" customHeight="true" outlineLevel="0" collapsed="false">
      <c r="A9" s="3" t="s">
        <v>84</v>
      </c>
      <c r="B9" s="4"/>
      <c r="C9" s="4"/>
      <c r="D9" s="16"/>
    </row>
    <row r="10" customFormat="false" ht="15" hidden="false" customHeight="true" outlineLevel="0" collapsed="false">
      <c r="A10" s="8" t="s">
        <v>85</v>
      </c>
      <c r="B10" s="17" t="n">
        <v>25</v>
      </c>
      <c r="C10" s="8" t="s">
        <v>86</v>
      </c>
      <c r="D10" s="7" t="s">
        <v>87</v>
      </c>
    </row>
    <row r="11" customFormat="false" ht="15" hidden="false" customHeight="true" outlineLevel="0" collapsed="false">
      <c r="A11" s="8" t="s">
        <v>88</v>
      </c>
      <c r="B11" s="18" t="n">
        <v>0.371</v>
      </c>
      <c r="C11" s="8" t="s">
        <v>73</v>
      </c>
      <c r="D11" s="7" t="s">
        <v>89</v>
      </c>
    </row>
    <row r="12" customFormat="false" ht="15" hidden="false" customHeight="true" outlineLevel="0" collapsed="false">
      <c r="A12" s="8" t="s">
        <v>90</v>
      </c>
      <c r="B12" s="18" t="n">
        <v>0.05</v>
      </c>
      <c r="C12" s="8" t="s">
        <v>91</v>
      </c>
      <c r="D12" s="7" t="s">
        <v>92</v>
      </c>
    </row>
    <row r="13" customFormat="false" ht="15" hidden="false" customHeight="true" outlineLevel="0" collapsed="false">
      <c r="A13" s="3" t="s">
        <v>93</v>
      </c>
      <c r="B13" s="4"/>
      <c r="C13" s="4"/>
      <c r="D13" s="16"/>
    </row>
    <row r="14" customFormat="false" ht="15" hidden="false" customHeight="true" outlineLevel="0" collapsed="false">
      <c r="A14" s="8" t="s">
        <v>94</v>
      </c>
      <c r="B14" s="9" t="n">
        <f aca="false">ROUND(B38*B39,0)</f>
        <v>13</v>
      </c>
      <c r="C14" s="8" t="s">
        <v>95</v>
      </c>
      <c r="D14" s="7" t="s">
        <v>96</v>
      </c>
    </row>
    <row r="15" customFormat="false" ht="15" hidden="false" customHeight="true" outlineLevel="0" collapsed="false">
      <c r="A15" s="8" t="s">
        <v>97</v>
      </c>
      <c r="B15" s="18" t="n">
        <v>0.6</v>
      </c>
      <c r="C15" s="8" t="s">
        <v>73</v>
      </c>
      <c r="D15" s="7" t="s">
        <v>98</v>
      </c>
    </row>
    <row r="16" customFormat="false" ht="15" hidden="false" customHeight="true" outlineLevel="0" collapsed="false">
      <c r="A16" s="8" t="s">
        <v>99</v>
      </c>
      <c r="B16" s="18" t="n">
        <v>0.4</v>
      </c>
      <c r="C16" s="8" t="s">
        <v>73</v>
      </c>
      <c r="D16" s="7" t="s">
        <v>100</v>
      </c>
    </row>
    <row r="17" customFormat="false" ht="15" hidden="false" customHeight="true" outlineLevel="0" collapsed="false">
      <c r="A17" s="8" t="s">
        <v>101</v>
      </c>
      <c r="B17" s="18" t="n">
        <v>0.2</v>
      </c>
      <c r="C17" s="8" t="s">
        <v>73</v>
      </c>
      <c r="D17" s="7" t="s">
        <v>102</v>
      </c>
    </row>
    <row r="18" customFormat="false" ht="15" hidden="false" customHeight="true" outlineLevel="0" collapsed="false">
      <c r="A18" s="8" t="s">
        <v>103</v>
      </c>
      <c r="B18" s="10" t="n">
        <f aca="false">B15*B16+(1-B15)*B17</f>
        <v>0.32</v>
      </c>
      <c r="C18" s="8" t="s">
        <v>73</v>
      </c>
      <c r="D18" s="7" t="s">
        <v>104</v>
      </c>
    </row>
    <row r="19" customFormat="false" ht="15" hidden="false" customHeight="true" outlineLevel="0" collapsed="false">
      <c r="A19" s="8" t="s">
        <v>105</v>
      </c>
      <c r="B19" s="10" t="n">
        <f aca="false">1-(B42/B41)^(1/11)</f>
        <v>0.103674878601247</v>
      </c>
      <c r="C19" s="8" t="s">
        <v>91</v>
      </c>
      <c r="D19" s="7" t="s">
        <v>106</v>
      </c>
    </row>
    <row r="20" customFormat="false" ht="15" hidden="false" customHeight="true" outlineLevel="0" collapsed="false">
      <c r="A20" s="3" t="s">
        <v>107</v>
      </c>
      <c r="B20" s="4"/>
      <c r="C20" s="4"/>
      <c r="D20" s="16"/>
    </row>
    <row r="21" customFormat="false" ht="15" hidden="false" customHeight="true" outlineLevel="0" collapsed="false">
      <c r="A21" s="8" t="s">
        <v>108</v>
      </c>
      <c r="B21" s="17" t="n">
        <v>990</v>
      </c>
      <c r="C21" s="8" t="s">
        <v>54</v>
      </c>
      <c r="D21" s="7" t="s">
        <v>109</v>
      </c>
    </row>
    <row r="22" customFormat="false" ht="15" hidden="false" customHeight="true" outlineLevel="0" collapsed="false">
      <c r="A22" s="8" t="s">
        <v>110</v>
      </c>
      <c r="B22" s="17" t="n">
        <v>1490</v>
      </c>
      <c r="C22" s="8" t="s">
        <v>54</v>
      </c>
      <c r="D22" s="7" t="s">
        <v>111</v>
      </c>
    </row>
    <row r="23" customFormat="false" ht="15" hidden="false" customHeight="true" outlineLevel="0" collapsed="false">
      <c r="A23" s="8" t="s">
        <v>112</v>
      </c>
      <c r="B23" s="18" t="n">
        <v>0.25</v>
      </c>
      <c r="C23" s="8" t="s">
        <v>73</v>
      </c>
      <c r="D23" s="7" t="s">
        <v>113</v>
      </c>
    </row>
    <row r="24" customFormat="false" ht="15" hidden="false" customHeight="true" outlineLevel="0" collapsed="false">
      <c r="A24" s="8" t="s">
        <v>114</v>
      </c>
      <c r="B24" s="19" t="n">
        <v>4</v>
      </c>
      <c r="C24" s="8" t="s">
        <v>115</v>
      </c>
      <c r="D24" s="7" t="s">
        <v>116</v>
      </c>
    </row>
    <row r="25" customFormat="false" ht="15" hidden="false" customHeight="true" outlineLevel="0" collapsed="false">
      <c r="A25" s="3" t="s">
        <v>117</v>
      </c>
      <c r="B25" s="4"/>
      <c r="C25" s="4"/>
      <c r="D25" s="16"/>
    </row>
    <row r="26" customFormat="false" ht="15" hidden="false" customHeight="true" outlineLevel="0" collapsed="false">
      <c r="A26" s="8" t="s">
        <v>118</v>
      </c>
      <c r="B26" s="20" t="n">
        <f aca="false">B44*(1+B45)</f>
        <v>0.0427</v>
      </c>
      <c r="C26" s="8" t="s">
        <v>119</v>
      </c>
      <c r="D26" s="7" t="s">
        <v>120</v>
      </c>
    </row>
    <row r="27" customFormat="false" ht="15" hidden="false" customHeight="true" outlineLevel="0" collapsed="false">
      <c r="A27" s="8" t="s">
        <v>121</v>
      </c>
      <c r="B27" s="18" t="n">
        <v>0.15</v>
      </c>
      <c r="C27" s="8" t="s">
        <v>73</v>
      </c>
      <c r="D27" s="7" t="s">
        <v>122</v>
      </c>
    </row>
    <row r="28" customFormat="false" ht="15" hidden="false" customHeight="true" outlineLevel="0" collapsed="false">
      <c r="A28" s="8" t="s">
        <v>123</v>
      </c>
      <c r="B28" s="18" t="n">
        <v>0.01</v>
      </c>
      <c r="C28" s="8" t="s">
        <v>119</v>
      </c>
      <c r="D28" s="7" t="s">
        <v>124</v>
      </c>
    </row>
    <row r="29" customFormat="false" ht="15" hidden="false" customHeight="true" outlineLevel="0" collapsed="false">
      <c r="A29" s="3" t="s">
        <v>125</v>
      </c>
      <c r="B29" s="4"/>
      <c r="C29" s="4"/>
      <c r="D29" s="16"/>
    </row>
    <row r="30" customFormat="false" ht="15" hidden="false" customHeight="true" outlineLevel="0" collapsed="false">
      <c r="A30" s="8" t="s">
        <v>126</v>
      </c>
      <c r="B30" s="19" t="n">
        <v>1</v>
      </c>
      <c r="C30" s="8" t="s">
        <v>115</v>
      </c>
      <c r="D30" s="7" t="s">
        <v>127</v>
      </c>
    </row>
    <row r="31" customFormat="false" ht="15" hidden="false" customHeight="true" outlineLevel="0" collapsed="false">
      <c r="A31" s="8" t="s">
        <v>128</v>
      </c>
      <c r="B31" s="18" t="n">
        <v>0.3</v>
      </c>
      <c r="C31" s="8" t="s">
        <v>73</v>
      </c>
      <c r="D31" s="7" t="s">
        <v>129</v>
      </c>
    </row>
    <row r="32" customFormat="false" ht="15" hidden="false" customHeight="true" outlineLevel="0" collapsed="false">
      <c r="A32" s="8" t="s">
        <v>130</v>
      </c>
      <c r="B32" s="18" t="n">
        <v>0.2</v>
      </c>
      <c r="C32" s="8" t="s">
        <v>73</v>
      </c>
      <c r="D32" s="7" t="s">
        <v>131</v>
      </c>
    </row>
    <row r="33" customFormat="false" ht="15" hidden="false" customHeight="true" outlineLevel="0" collapsed="false">
      <c r="A33" s="8" t="s">
        <v>132</v>
      </c>
      <c r="B33" s="18" t="n">
        <v>0.25</v>
      </c>
      <c r="C33" s="8" t="s">
        <v>133</v>
      </c>
      <c r="D33" s="7" t="s">
        <v>134</v>
      </c>
    </row>
    <row r="34" customFormat="false" ht="28.5" hidden="false" customHeight="true" outlineLevel="0" collapsed="false">
      <c r="A34" s="8" t="s">
        <v>135</v>
      </c>
      <c r="B34" s="21" t="n">
        <v>0.4</v>
      </c>
      <c r="C34" s="22" t="s">
        <v>136</v>
      </c>
      <c r="D34" s="23" t="s">
        <v>137</v>
      </c>
    </row>
    <row r="35" customFormat="false" ht="14.25" hidden="false" customHeight="true" outlineLevel="0" collapsed="false">
      <c r="A35" s="3" t="s">
        <v>138</v>
      </c>
      <c r="B35" s="4"/>
      <c r="C35" s="4"/>
      <c r="D35" s="16"/>
    </row>
    <row r="36" customFormat="false" ht="14.25" hidden="false" customHeight="true" outlineLevel="0" collapsed="false">
      <c r="A36" s="8" t="s">
        <v>139</v>
      </c>
      <c r="B36" s="17" t="n">
        <v>166200</v>
      </c>
      <c r="C36" s="22" t="s">
        <v>54</v>
      </c>
      <c r="D36" s="23" t="s">
        <v>140</v>
      </c>
    </row>
    <row r="37" customFormat="false" ht="14.25" hidden="false" customHeight="true" outlineLevel="0" collapsed="false">
      <c r="A37" s="8" t="s">
        <v>141</v>
      </c>
      <c r="B37" s="11" t="n">
        <f aca="false">B36/B7</f>
        <v>52.1003134796238</v>
      </c>
      <c r="C37" s="22" t="s">
        <v>82</v>
      </c>
      <c r="D37" s="23" t="s">
        <v>142</v>
      </c>
    </row>
    <row r="38" customFormat="false" ht="14.25" hidden="false" customHeight="true" outlineLevel="0" collapsed="false">
      <c r="A38" s="8" t="s">
        <v>143</v>
      </c>
      <c r="B38" s="11" t="n">
        <f aca="false">B37/(B8/12)</f>
        <v>44.6574115539633</v>
      </c>
      <c r="C38" s="22" t="s">
        <v>95</v>
      </c>
      <c r="D38" s="23" t="s">
        <v>144</v>
      </c>
    </row>
    <row r="39" customFormat="false" ht="14.25" hidden="false" customHeight="true" outlineLevel="0" collapsed="false">
      <c r="A39" s="8" t="s">
        <v>145</v>
      </c>
      <c r="B39" s="21" t="n">
        <v>0.3</v>
      </c>
      <c r="C39" s="22" t="s">
        <v>73</v>
      </c>
      <c r="D39" s="23" t="s">
        <v>146</v>
      </c>
    </row>
    <row r="41" customFormat="false" ht="14.25" hidden="false" customHeight="true" outlineLevel="0" collapsed="false">
      <c r="A41" s="8" t="s">
        <v>147</v>
      </c>
      <c r="B41" s="21" t="n">
        <v>0.2</v>
      </c>
      <c r="C41" s="22" t="s">
        <v>73</v>
      </c>
      <c r="D41" s="23" t="s">
        <v>148</v>
      </c>
    </row>
    <row r="42" customFormat="false" ht="14.25" hidden="false" customHeight="true" outlineLevel="0" collapsed="false">
      <c r="A42" s="8" t="s">
        <v>149</v>
      </c>
      <c r="B42" s="21" t="n">
        <v>0.06</v>
      </c>
      <c r="C42" s="22" t="s">
        <v>73</v>
      </c>
      <c r="D42" s="23" t="s">
        <v>148</v>
      </c>
    </row>
    <row r="44" customFormat="false" ht="14.25" hidden="false" customHeight="true" outlineLevel="0" collapsed="false">
      <c r="A44" s="8" t="s">
        <v>150</v>
      </c>
      <c r="B44" s="18" t="n">
        <v>0.035</v>
      </c>
      <c r="C44" s="22" t="s">
        <v>73</v>
      </c>
      <c r="D44" s="23" t="s">
        <v>151</v>
      </c>
    </row>
    <row r="45" customFormat="false" ht="14.25" hidden="false" customHeight="true" outlineLevel="0" collapsed="false">
      <c r="A45" s="8" t="s">
        <v>152</v>
      </c>
      <c r="B45" s="21" t="n">
        <v>0.22</v>
      </c>
      <c r="C45" s="22" t="s">
        <v>73</v>
      </c>
      <c r="D45" s="23" t="s">
        <v>153</v>
      </c>
    </row>
    <row r="47" customFormat="false" ht="14.25" hidden="false" customHeight="true" outlineLevel="0" collapsed="false">
      <c r="D47" s="1"/>
    </row>
    <row r="48" customFormat="false" ht="14.25" hidden="false" customHeight="true" outlineLevel="0" collapsed="false">
      <c r="D48" s="1"/>
    </row>
    <row r="50" customFormat="false" ht="14.25" hidden="false" customHeight="false" outlineLevel="0" collapsed="false">
      <c r="A50" s="3" t="s">
        <v>154</v>
      </c>
      <c r="B50" s="4"/>
      <c r="C50" s="4"/>
      <c r="D50" s="4"/>
    </row>
    <row r="51" customFormat="false" ht="28.35" hidden="false" customHeight="false" outlineLevel="0" collapsed="false">
      <c r="A51" s="8" t="s">
        <v>155</v>
      </c>
      <c r="B51" s="9" t="n">
        <f aca="false">B6</f>
        <v>27300</v>
      </c>
      <c r="C51" s="8" t="s">
        <v>70</v>
      </c>
      <c r="D51" s="7" t="s">
        <v>156</v>
      </c>
    </row>
    <row r="52" customFormat="false" ht="28.35" hidden="false" customHeight="false" outlineLevel="0" collapsed="false">
      <c r="A52" s="8" t="s">
        <v>157</v>
      </c>
      <c r="B52" s="9" t="n">
        <f aca="false">B53</f>
        <v>2500000</v>
      </c>
      <c r="C52" s="8" t="s">
        <v>95</v>
      </c>
      <c r="D52" s="7" t="s">
        <v>158</v>
      </c>
    </row>
    <row r="53" customFormat="false" ht="28.35" hidden="false" customHeight="false" outlineLevel="0" collapsed="false">
      <c r="A53" s="8" t="s">
        <v>159</v>
      </c>
      <c r="B53" s="17" t="n">
        <v>2500000</v>
      </c>
      <c r="C53" s="8" t="s">
        <v>160</v>
      </c>
      <c r="D53" s="7" t="s">
        <v>161</v>
      </c>
    </row>
    <row r="54" customFormat="false" ht="14.25" hidden="false" customHeight="false" outlineLevel="0" collapsed="false">
      <c r="A54" s="8"/>
      <c r="B54" s="9"/>
      <c r="C54" s="8"/>
      <c r="D54" s="8"/>
    </row>
    <row r="55" customFormat="false" ht="41.75" hidden="false" customHeight="false" outlineLevel="0" collapsed="false">
      <c r="A55" s="8" t="s">
        <v>162</v>
      </c>
      <c r="B55" s="21" t="n">
        <v>0.04</v>
      </c>
      <c r="C55" s="8" t="s">
        <v>91</v>
      </c>
      <c r="D55" s="7" t="s">
        <v>163</v>
      </c>
    </row>
    <row r="56" customFormat="false" ht="28.35" hidden="false" customHeight="false" outlineLevel="0" collapsed="false">
      <c r="A56" s="8" t="s">
        <v>164</v>
      </c>
      <c r="B56" s="21" t="n">
        <v>0.5</v>
      </c>
      <c r="C56" s="8" t="s">
        <v>73</v>
      </c>
      <c r="D56" s="7" t="s">
        <v>165</v>
      </c>
    </row>
    <row r="57" customFormat="false" ht="28.35" hidden="false" customHeight="false" outlineLevel="0" collapsed="false">
      <c r="A57" s="8" t="s">
        <v>166</v>
      </c>
      <c r="B57" s="17" t="n">
        <v>500</v>
      </c>
      <c r="C57" s="8" t="s">
        <v>70</v>
      </c>
      <c r="D57" s="7" t="s">
        <v>167</v>
      </c>
    </row>
    <row r="58" customFormat="false" ht="55.2" hidden="false" customHeight="false" outlineLevel="0" collapsed="false">
      <c r="A58" s="8" t="s">
        <v>168</v>
      </c>
      <c r="B58" s="9"/>
      <c r="C58" s="8"/>
      <c r="D58" s="7" t="s">
        <v>169</v>
      </c>
    </row>
    <row r="59" customFormat="false" ht="28.35" hidden="false" customHeight="false" outlineLevel="0" collapsed="false">
      <c r="A59" s="8" t="s">
        <v>170</v>
      </c>
      <c r="B59" s="17" t="n">
        <v>14</v>
      </c>
      <c r="C59" s="8" t="s">
        <v>171</v>
      </c>
      <c r="D59" s="7" t="s">
        <v>172</v>
      </c>
    </row>
    <row r="60" customFormat="false" ht="28.35" hidden="false" customHeight="false" outlineLevel="0" collapsed="false">
      <c r="A60" s="8" t="s">
        <v>173</v>
      </c>
      <c r="B60" s="21" t="n">
        <f aca="false">MAX(0,1-B59/30)</f>
        <v>0.533333333333333</v>
      </c>
      <c r="C60" s="8" t="s">
        <v>73</v>
      </c>
      <c r="D60" s="7" t="s">
        <v>174</v>
      </c>
    </row>
    <row r="62" customFormat="false" ht="14.25" hidden="false" customHeight="false" outlineLevel="0" collapsed="false">
      <c r="A62" s="3" t="s">
        <v>175</v>
      </c>
      <c r="B62" s="4"/>
      <c r="C62" s="4"/>
      <c r="D62" s="4"/>
    </row>
    <row r="63" customFormat="false" ht="41.75" hidden="false" customHeight="false" outlineLevel="0" collapsed="false">
      <c r="A63" s="8" t="s">
        <v>176</v>
      </c>
      <c r="B63" s="17" t="n">
        <v>2.5</v>
      </c>
      <c r="C63" s="8" t="s">
        <v>177</v>
      </c>
      <c r="D63" s="7" t="s">
        <v>178</v>
      </c>
    </row>
    <row r="64" customFormat="false" ht="28.35" hidden="false" customHeight="false" outlineLevel="0" collapsed="false">
      <c r="A64" s="8" t="s">
        <v>179</v>
      </c>
      <c r="B64" s="21" t="n">
        <v>0.5</v>
      </c>
      <c r="C64" s="8" t="s">
        <v>180</v>
      </c>
      <c r="D64" s="7" t="s">
        <v>181</v>
      </c>
    </row>
    <row r="65" customFormat="false" ht="28.35" hidden="false" customHeight="false" outlineLevel="0" collapsed="false">
      <c r="A65" s="8" t="s">
        <v>182</v>
      </c>
      <c r="B65" s="21" t="n">
        <v>0.5</v>
      </c>
      <c r="C65" s="8" t="s">
        <v>180</v>
      </c>
      <c r="D65" s="7" t="s">
        <v>183</v>
      </c>
    </row>
    <row r="66" customFormat="false" ht="28.35" hidden="false" customHeight="false" outlineLevel="0" collapsed="false">
      <c r="A66" s="8" t="s">
        <v>184</v>
      </c>
      <c r="B66" s="17" t="n">
        <v>1</v>
      </c>
      <c r="C66" s="8" t="s">
        <v>185</v>
      </c>
      <c r="D66" s="7" t="s">
        <v>186</v>
      </c>
    </row>
    <row r="67" customFormat="false" ht="28.35" hidden="false" customHeight="false" outlineLevel="0" collapsed="false">
      <c r="A67" s="8" t="s">
        <v>187</v>
      </c>
      <c r="B67" s="17" t="n">
        <v>576</v>
      </c>
      <c r="C67" s="8" t="s">
        <v>70</v>
      </c>
      <c r="D67" s="7" t="s">
        <v>188</v>
      </c>
    </row>
    <row r="68" customFormat="false" ht="14.25" hidden="false" customHeight="false" outlineLevel="0" collapsed="false">
      <c r="A68" s="3" t="s">
        <v>189</v>
      </c>
      <c r="B68" s="4"/>
      <c r="C68" s="4"/>
      <c r="D68" s="4"/>
    </row>
    <row r="69" customFormat="false" ht="28.35" hidden="false" customHeight="false" outlineLevel="0" collapsed="false">
      <c r="A69" s="8" t="s">
        <v>190</v>
      </c>
      <c r="B69" s="18" t="n">
        <v>0.03</v>
      </c>
      <c r="C69" s="8" t="s">
        <v>91</v>
      </c>
      <c r="D69" s="7" t="s">
        <v>191</v>
      </c>
    </row>
    <row r="70" customFormat="false" ht="28.35" hidden="false" customHeight="false" outlineLevel="0" collapsed="false">
      <c r="A70" s="8" t="s">
        <v>192</v>
      </c>
      <c r="B70" s="17" t="n">
        <v>12</v>
      </c>
      <c r="C70" s="8" t="s">
        <v>115</v>
      </c>
      <c r="D70" s="7" t="s">
        <v>193</v>
      </c>
    </row>
    <row r="71" customFormat="false" ht="41.75" hidden="false" customHeight="false" outlineLevel="0" collapsed="false">
      <c r="A71" s="8" t="s">
        <v>194</v>
      </c>
      <c r="B71" s="17" t="n">
        <f aca="false">B57</f>
        <v>500</v>
      </c>
      <c r="C71" s="8" t="s">
        <v>70</v>
      </c>
      <c r="D71" s="7" t="s">
        <v>195</v>
      </c>
    </row>
    <row r="73" customFormat="false" ht="14.25" hidden="false" customHeight="false" outlineLevel="0" collapsed="false">
      <c r="A73" s="3" t="s">
        <v>196</v>
      </c>
      <c r="B73" s="4"/>
      <c r="C73" s="4"/>
      <c r="D73" s="4"/>
    </row>
    <row r="74" customFormat="false" ht="41.75" hidden="false" customHeight="false" outlineLevel="0" collapsed="false">
      <c r="A74" s="8" t="s">
        <v>197</v>
      </c>
      <c r="B74" s="17" t="n">
        <v>20000000</v>
      </c>
      <c r="C74" s="8" t="s">
        <v>198</v>
      </c>
      <c r="D74" s="7" t="s">
        <v>199</v>
      </c>
    </row>
    <row r="75" customFormat="false" ht="14.9" hidden="false" customHeight="false" outlineLevel="0" collapsed="false">
      <c r="A75" s="8" t="s">
        <v>200</v>
      </c>
      <c r="B75" s="17" t="n">
        <v>20000000</v>
      </c>
      <c r="C75" s="8" t="s">
        <v>198</v>
      </c>
      <c r="D75" s="7" t="s">
        <v>201</v>
      </c>
    </row>
    <row r="76" customFormat="false" ht="14.9" hidden="false" customHeight="false" outlineLevel="0" collapsed="false">
      <c r="A76" s="8" t="s">
        <v>202</v>
      </c>
      <c r="B76" s="17" t="n">
        <v>15000000</v>
      </c>
      <c r="C76" s="8" t="s">
        <v>198</v>
      </c>
      <c r="D76" s="7" t="s">
        <v>201</v>
      </c>
    </row>
    <row r="77" customFormat="false" ht="28.35" hidden="false" customHeight="false" outlineLevel="0" collapsed="false">
      <c r="A77" s="8" t="s">
        <v>203</v>
      </c>
      <c r="B77" s="18" t="n">
        <v>0.05</v>
      </c>
      <c r="C77" s="8" t="s">
        <v>73</v>
      </c>
      <c r="D77" s="7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5" activeCellId="0" sqref="C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2"/>
    <col collapsed="false" customWidth="true" hidden="false" outlineLevel="0" max="38" min="2" style="1" width="13"/>
  </cols>
  <sheetData>
    <row r="1" customFormat="false" ht="15" hidden="false" customHeight="true" outlineLevel="0" collapsed="false">
      <c r="A1" s="2" t="s">
        <v>0</v>
      </c>
      <c r="B1" s="2" t="s">
        <v>205</v>
      </c>
      <c r="C1" s="2" t="s">
        <v>206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2" t="s">
        <v>214</v>
      </c>
      <c r="L1" s="2" t="s">
        <v>215</v>
      </c>
      <c r="M1" s="2" t="s">
        <v>216</v>
      </c>
      <c r="N1" s="2" t="s">
        <v>217</v>
      </c>
      <c r="O1" s="2" t="s">
        <v>218</v>
      </c>
      <c r="P1" s="2" t="s">
        <v>219</v>
      </c>
      <c r="Q1" s="2" t="s">
        <v>220</v>
      </c>
      <c r="R1" s="2" t="s">
        <v>221</v>
      </c>
      <c r="S1" s="2" t="s">
        <v>222</v>
      </c>
      <c r="T1" s="2" t="s">
        <v>223</v>
      </c>
      <c r="U1" s="2" t="s">
        <v>224</v>
      </c>
      <c r="V1" s="2" t="s">
        <v>225</v>
      </c>
      <c r="W1" s="2" t="s">
        <v>226</v>
      </c>
      <c r="X1" s="2" t="s">
        <v>227</v>
      </c>
      <c r="Y1" s="2" t="s">
        <v>228</v>
      </c>
      <c r="Z1" s="2" t="s">
        <v>229</v>
      </c>
      <c r="AA1" s="2" t="s">
        <v>230</v>
      </c>
      <c r="AB1" s="2" t="s">
        <v>231</v>
      </c>
      <c r="AC1" s="2" t="s">
        <v>232</v>
      </c>
      <c r="AD1" s="2" t="s">
        <v>233</v>
      </c>
      <c r="AE1" s="2" t="s">
        <v>234</v>
      </c>
      <c r="AF1" s="2" t="s">
        <v>235</v>
      </c>
      <c r="AG1" s="2" t="s">
        <v>236</v>
      </c>
      <c r="AH1" s="2" t="s">
        <v>237</v>
      </c>
      <c r="AI1" s="2" t="s">
        <v>238</v>
      </c>
      <c r="AJ1" s="2" t="s">
        <v>239</v>
      </c>
      <c r="AK1" s="2" t="s">
        <v>240</v>
      </c>
      <c r="AL1" s="2" t="s">
        <v>241</v>
      </c>
    </row>
    <row r="2" customFormat="false" ht="15" hidden="false" customHeight="true" outlineLevel="0" collapsed="false">
      <c r="A2" s="8" t="s">
        <v>242</v>
      </c>
      <c r="B2" s="13" t="n">
        <v>0</v>
      </c>
      <c r="C2" s="13" t="n">
        <v>1</v>
      </c>
      <c r="D2" s="13" t="n">
        <v>2</v>
      </c>
      <c r="E2" s="13" t="n">
        <v>3</v>
      </c>
      <c r="F2" s="13" t="n">
        <v>4</v>
      </c>
      <c r="G2" s="13" t="n">
        <v>5</v>
      </c>
      <c r="H2" s="13" t="n">
        <v>6</v>
      </c>
      <c r="I2" s="13" t="n">
        <v>7</v>
      </c>
      <c r="J2" s="13" t="n">
        <v>8</v>
      </c>
      <c r="K2" s="13" t="n">
        <v>9</v>
      </c>
      <c r="L2" s="13" t="n">
        <v>10</v>
      </c>
      <c r="M2" s="13" t="n">
        <v>11</v>
      </c>
      <c r="N2" s="13" t="n">
        <v>12</v>
      </c>
      <c r="O2" s="13" t="n">
        <v>13</v>
      </c>
      <c r="P2" s="13" t="n">
        <v>14</v>
      </c>
      <c r="Q2" s="13" t="n">
        <v>15</v>
      </c>
      <c r="R2" s="13" t="n">
        <v>16</v>
      </c>
      <c r="S2" s="13" t="n">
        <v>17</v>
      </c>
      <c r="T2" s="13" t="n">
        <v>18</v>
      </c>
      <c r="U2" s="13" t="n">
        <v>19</v>
      </c>
      <c r="V2" s="13" t="n">
        <v>20</v>
      </c>
      <c r="W2" s="13" t="n">
        <v>21</v>
      </c>
      <c r="X2" s="13" t="n">
        <v>22</v>
      </c>
      <c r="Y2" s="13" t="n">
        <v>23</v>
      </c>
      <c r="Z2" s="13" t="n">
        <v>24</v>
      </c>
      <c r="AA2" s="13" t="n">
        <v>25</v>
      </c>
      <c r="AB2" s="13" t="n">
        <v>26</v>
      </c>
      <c r="AC2" s="13" t="n">
        <v>27</v>
      </c>
      <c r="AD2" s="13" t="n">
        <v>28</v>
      </c>
      <c r="AE2" s="13" t="n">
        <v>29</v>
      </c>
      <c r="AF2" s="13" t="n">
        <v>30</v>
      </c>
      <c r="AG2" s="13" t="n">
        <v>31</v>
      </c>
      <c r="AH2" s="13" t="n">
        <v>32</v>
      </c>
      <c r="AI2" s="13" t="n">
        <v>33</v>
      </c>
      <c r="AJ2" s="13" t="n">
        <v>34</v>
      </c>
      <c r="AK2" s="13" t="n">
        <v>35</v>
      </c>
      <c r="AL2" s="13" t="n">
        <v>36</v>
      </c>
    </row>
    <row r="4" customFormat="false" ht="15" hidden="false" customHeight="true" outlineLevel="0" collapsed="false">
      <c r="A4" s="3" t="s">
        <v>243</v>
      </c>
    </row>
    <row r="5" customFormat="false" ht="15" hidden="false" customHeight="true" outlineLevel="0" collapsed="false">
      <c r="A5" s="8" t="s">
        <v>244</v>
      </c>
      <c r="B5" s="9" t="n">
        <f aca="false">Маркетинг!B14*B44*B47</f>
        <v>0</v>
      </c>
      <c r="C5" s="9" t="n">
        <f aca="false">Маркетинг!C14*C44*C47</f>
        <v>94.8503311258278</v>
      </c>
      <c r="D5" s="9" t="n">
        <f aca="false">Маркетинг!D14*D44*D47</f>
        <v>117.395829026864</v>
      </c>
      <c r="E5" s="9" t="n">
        <f aca="false">Маркетинг!E14*E44*E47</f>
        <v>120.755565963989</v>
      </c>
      <c r="F5" s="9" t="n">
        <f aca="false">Маркетинг!F14*F44*F47</f>
        <v>124.15872584939</v>
      </c>
      <c r="G5" s="9" t="n">
        <f aca="false">Маркетинг!G14*G44*G47</f>
        <v>128.824224668057</v>
      </c>
      <c r="H5" s="9" t="n">
        <f aca="false">Маркетинг!H14*H44*H47</f>
        <v>132.708151119731</v>
      </c>
      <c r="I5" s="9" t="n">
        <f aca="false">Маркетинг!I14*I44*I47</f>
        <v>136.136999879963</v>
      </c>
      <c r="J5" s="9" t="n">
        <f aca="false">Маркетинг!J14*J44*J47</f>
        <v>139.173978696234</v>
      </c>
      <c r="K5" s="9" t="n">
        <f aca="false">Маркетинг!K14*K44*K47</f>
        <v>141.860473781398</v>
      </c>
      <c r="L5" s="9" t="n">
        <f aca="false">Маркетинг!L14*L44*L47</f>
        <v>144.230649530969</v>
      </c>
      <c r="M5" s="9" t="n">
        <f aca="false">Маркетинг!M14*M44*M47</f>
        <v>146.315886602478</v>
      </c>
      <c r="N5" s="9" t="n">
        <f aca="false">Маркетинг!N14*N44*N47</f>
        <v>148.145717448258</v>
      </c>
      <c r="O5" s="9" t="n">
        <f aca="false">Маркетинг!O14*O44*O47</f>
        <v>149.747847691832</v>
      </c>
      <c r="P5" s="9" t="n">
        <f aca="false">Маркетинг!P14*P44*P47</f>
        <v>151.179578841255</v>
      </c>
      <c r="Q5" s="9" t="n">
        <f aca="false">Маркетинг!Q14*Q44*Q47</f>
        <v>152.465390480724</v>
      </c>
      <c r="R5" s="9" t="n">
        <f aca="false">Маркетинг!R14*R44*R47</f>
        <v>153.619050014609</v>
      </c>
      <c r="S5" s="9" t="n">
        <f aca="false">Маркетинг!S14*S44*S47</f>
        <v>154.651266546677</v>
      </c>
      <c r="T5" s="9" t="n">
        <f aca="false">Маркетинг!T14*T44*T47</f>
        <v>155.570744511506</v>
      </c>
      <c r="U5" s="9" t="n">
        <f aca="false">Маркетинг!U14*U44*U47</f>
        <v>156.384948735499</v>
      </c>
      <c r="V5" s="9" t="n">
        <f aca="false">Маркетинг!V14*V44*V47</f>
        <v>157.100579037406</v>
      </c>
      <c r="W5" s="9" t="n">
        <f aca="false">Маркетинг!W14*W44*W47</f>
        <v>157.72385984739</v>
      </c>
      <c r="X5" s="9" t="n">
        <f aca="false">Маркетинг!X14*X44*X47</f>
        <v>158.26070913519</v>
      </c>
      <c r="Y5" s="9" t="n">
        <f aca="false">Маркетинг!Y14*Y44*Y47</f>
        <v>158.716829018998</v>
      </c>
      <c r="Z5" s="9" t="n">
        <f aca="false">Маркетинг!Z14*Z44*Z47</f>
        <v>159.097746527613</v>
      </c>
      <c r="AA5" s="9" t="n">
        <f aca="false">Маркетинг!AA14*AA44*AA47</f>
        <v>159.408823854799</v>
      </c>
      <c r="AB5" s="9" t="n">
        <f aca="false">Маркетинг!AB14*AB44*AB47</f>
        <v>159.655251240521</v>
      </c>
      <c r="AC5" s="9" t="n">
        <f aca="false">Маркетинг!AC14*AC44*AC47</f>
        <v>159.842031298809</v>
      </c>
      <c r="AD5" s="9" t="n">
        <f aca="false">Маркетинг!AD14*AD44*AD47</f>
        <v>159.973960569625</v>
      </c>
      <c r="AE5" s="9" t="n">
        <f aca="false">Маркетинг!AE14*AE44*AE47</f>
        <v>160.055611918318</v>
      </c>
      <c r="AF5" s="9" t="n">
        <f aca="false">Маркетинг!AF14*AF44*AF47</f>
        <v>160.09131989022</v>
      </c>
      <c r="AG5" s="9" t="n">
        <f aca="false">Маркетинг!AG14*AG44*AG47</f>
        <v>160.085170076935</v>
      </c>
      <c r="AH5" s="9" t="n">
        <f aca="false">Маркетинг!AH14*AH44*AH47</f>
        <v>160.040992841595</v>
      </c>
      <c r="AI5" s="9" t="n">
        <f aca="false">Маркетинг!AI14*AI44*AI47</f>
        <v>159.962361291198</v>
      </c>
      <c r="AJ5" s="9" t="n">
        <f aca="false">Маркетинг!AJ14*AJ44*AJ47</f>
        <v>159.852593106385</v>
      </c>
      <c r="AK5" s="9" t="n">
        <f aca="false">Маркетинг!AK14*AK44*AK47</f>
        <v>159.714755690192</v>
      </c>
      <c r="AL5" s="9" t="n">
        <f aca="false">Маркетинг!AL14*AL44*AL47</f>
        <v>159.55167403776</v>
      </c>
    </row>
    <row r="6" customFormat="false" ht="15" hidden="false" customHeight="true" outlineLevel="0" collapsed="false">
      <c r="A6" s="8" t="s">
        <v>245</v>
      </c>
      <c r="B6" s="9" t="n">
        <v>0</v>
      </c>
      <c r="C6" s="9" t="n">
        <f aca="false">(Вводные!$B$10+Вводные!$B$55*B10)*C44</f>
        <v>25</v>
      </c>
      <c r="D6" s="9" t="n">
        <f aca="false">(Вводные!$B$10+Вводные!$B$55*C10)*D44</f>
        <v>25.9260349620989</v>
      </c>
      <c r="E6" s="9" t="n">
        <f aca="false">(Вводные!$B$10+Вводные!$B$55*D10)*E44</f>
        <v>27.793847833713</v>
      </c>
      <c r="F6" s="9" t="n">
        <f aca="false">(Вводные!$B$10+Вводные!$B$55*E10)*F44</f>
        <v>29.7665446777669</v>
      </c>
      <c r="G6" s="9" t="n">
        <f aca="false">(Вводные!$B$10+Вводные!$B$55*F10)*G44</f>
        <v>32.636746200465</v>
      </c>
      <c r="H6" s="9" t="n">
        <f aca="false">(Вводные!$B$10+Вводные!$B$55*G10)*H44</f>
        <v>35.213583517656</v>
      </c>
      <c r="I6" s="9" t="n">
        <f aca="false">(Вводные!$B$10+Вводные!$B$55*H10)*I44</f>
        <v>37.673066529676</v>
      </c>
      <c r="J6" s="9" t="n">
        <f aca="false">(Вводные!$B$10+Вводные!$B$55*I10)*J44</f>
        <v>40.0375202370588</v>
      </c>
      <c r="K6" s="9" t="n">
        <f aca="false">(Вводные!$B$10+Вводные!$B$55*J10)*K44</f>
        <v>42.3157824426125</v>
      </c>
      <c r="L6" s="9" t="n">
        <f aca="false">(Вводные!$B$10+Вводные!$B$55*K10)*L44</f>
        <v>44.5117826369368</v>
      </c>
      <c r="M6" s="9" t="n">
        <f aca="false">(Вводные!$B$10+Вводные!$B$55*L10)*M44</f>
        <v>46.627792998002</v>
      </c>
      <c r="N6" s="9" t="n">
        <f aca="false">(Вводные!$B$10+Вводные!$B$55*M10)*N44</f>
        <v>48.665550601928</v>
      </c>
      <c r="O6" s="9" t="n">
        <f aca="false">(Вводные!$B$10+Вводные!$B$55*N10)*O44</f>
        <v>50.6266894822654</v>
      </c>
      <c r="P6" s="9" t="n">
        <f aca="false">(Вводные!$B$10+Вводные!$B$55*O10)*P44</f>
        <v>52.5576552695634</v>
      </c>
      <c r="Q6" s="9" t="n">
        <f aca="false">(Вводные!$B$10+Вводные!$B$55*P10)*Q44</f>
        <v>54.4758274272435</v>
      </c>
      <c r="R6" s="9" t="n">
        <f aca="false">(Вводные!$B$10+Вводные!$B$55*Q10)*R44</f>
        <v>56.38846320746</v>
      </c>
      <c r="S6" s="9" t="n">
        <f aca="false">(Вводные!$B$10+Вводные!$B$55*R10)*S44</f>
        <v>58.3005456324067</v>
      </c>
      <c r="T6" s="9" t="n">
        <f aca="false">(Вводные!$B$10+Вводные!$B$55*S10)*T44</f>
        <v>60.2153013895872</v>
      </c>
      <c r="U6" s="9" t="n">
        <f aca="false">(Вводные!$B$10+Вводные!$B$55*T10)*U44</f>
        <v>62.1347035844892</v>
      </c>
      <c r="V6" s="9" t="n">
        <f aca="false">(Вводные!$B$10+Вводные!$B$55*U10)*V44</f>
        <v>64.0598209537473</v>
      </c>
      <c r="W6" s="9" t="n">
        <f aca="false">(Вводные!$B$10+Вводные!$B$55*V10)*W44</f>
        <v>65.9910686119067</v>
      </c>
      <c r="X6" s="9" t="n">
        <f aca="false">(Вводные!$B$10+Вводные!$B$55*W10)*X44</f>
        <v>67.9283908020256</v>
      </c>
      <c r="Y6" s="9" t="n">
        <f aca="false">(Вводные!$B$10+Вводные!$B$55*X10)*Y44</f>
        <v>69.8713956414056</v>
      </c>
      <c r="Z6" s="9" t="n">
        <f aca="false">(Вводные!$B$10+Вводные!$B$55*Y10)*Z44</f>
        <v>71.8194552927064</v>
      </c>
      <c r="AA6" s="9" t="n">
        <f aca="false">(Вводные!$B$10+Вводные!$B$55*Z10)*AA44</f>
        <v>73.7717808203555</v>
      </c>
      <c r="AB6" s="9" t="n">
        <f aca="false">(Вводные!$B$10+Вводные!$B$55*AA10)*AB44</f>
        <v>75.7274782610279</v>
      </c>
      <c r="AC6" s="9" t="n">
        <f aca="false">(Вводные!$B$10+Вводные!$B$55*AB10)*AC44</f>
        <v>77.6855906022362</v>
      </c>
      <c r="AD6" s="9" t="n">
        <f aca="false">(Вводные!$B$10+Вводные!$B$55*AC10)*AD44</f>
        <v>79.6451291020609</v>
      </c>
      <c r="AE6" s="9" t="n">
        <f aca="false">(Вводные!$B$10+Вводные!$B$55*AD10)*AE44</f>
        <v>81.6050964981442</v>
      </c>
      <c r="AF6" s="9" t="n">
        <f aca="false">(Вводные!$B$10+Вводные!$B$55*AE10)*AF44</f>
        <v>83.5645040211211</v>
      </c>
      <c r="AG6" s="9" t="n">
        <f aca="false">(Вводные!$B$10+Вводные!$B$55*AF10)*AG44</f>
        <v>85.5223836669359</v>
      </c>
      <c r="AH6" s="9" t="n">
        <f aca="false">(Вводные!$B$10+Вводные!$B$55*AG10)*AH44</f>
        <v>87.4777968417583</v>
      </c>
      <c r="AI6" s="9" t="n">
        <f aca="false">(Вводные!$B$10+Вводные!$B$55*AH10)*AI44</f>
        <v>89.4298402376354</v>
      </c>
      <c r="AJ6" s="9" t="n">
        <f aca="false">(Вводные!$B$10+Вводные!$B$55*AI10)*AJ44</f>
        <v>91.3776496029547</v>
      </c>
      <c r="AK6" s="9" t="n">
        <f aca="false">(Вводные!$B$10+Вводные!$B$55*AJ10)*AK44</f>
        <v>93.3204019229279</v>
      </c>
      <c r="AL6" s="9" t="n">
        <f aca="false">(Вводные!$B$10+Вводные!$B$55*AK10)*AL44</f>
        <v>95.2573164101663</v>
      </c>
    </row>
    <row r="7" customFormat="false" ht="15" hidden="false" customHeight="true" outlineLevel="0" collapsed="false">
      <c r="A7" s="5" t="s">
        <v>246</v>
      </c>
      <c r="B7" s="6" t="n">
        <f aca="false">B5+B6</f>
        <v>0</v>
      </c>
      <c r="C7" s="6" t="n">
        <f aca="false">C5+C6</f>
        <v>119.850331125828</v>
      </c>
      <c r="D7" s="6" t="n">
        <f aca="false">D5+D6</f>
        <v>143.321863988963</v>
      </c>
      <c r="E7" s="6" t="n">
        <f aca="false">E5+E6</f>
        <v>148.549413797702</v>
      </c>
      <c r="F7" s="6" t="n">
        <f aca="false">F5+F6</f>
        <v>153.925270527157</v>
      </c>
      <c r="G7" s="6" t="n">
        <f aca="false">G5+G6</f>
        <v>161.460970868522</v>
      </c>
      <c r="H7" s="6" t="n">
        <f aca="false">H5+H6</f>
        <v>167.921734637387</v>
      </c>
      <c r="I7" s="6" t="n">
        <f aca="false">I5+I6</f>
        <v>173.81006640964</v>
      </c>
      <c r="J7" s="6" t="n">
        <f aca="false">J5+J6</f>
        <v>179.211498933293</v>
      </c>
      <c r="K7" s="6" t="n">
        <f aca="false">K5+K6</f>
        <v>184.176256224011</v>
      </c>
      <c r="L7" s="6" t="n">
        <f aca="false">L5+L6</f>
        <v>188.742432167906</v>
      </c>
      <c r="M7" s="6" t="n">
        <f aca="false">M5+M6</f>
        <v>192.94367960048</v>
      </c>
      <c r="N7" s="6" t="n">
        <f aca="false">N5+N6</f>
        <v>196.811268050186</v>
      </c>
      <c r="O7" s="6" t="n">
        <f aca="false">O5+O6</f>
        <v>200.374537174097</v>
      </c>
      <c r="P7" s="6" t="n">
        <f aca="false">P5+P6</f>
        <v>203.737234110819</v>
      </c>
      <c r="Q7" s="6" t="n">
        <f aca="false">Q5+Q6</f>
        <v>206.941217907968</v>
      </c>
      <c r="R7" s="6" t="n">
        <f aca="false">R5+R6</f>
        <v>210.007513222069</v>
      </c>
      <c r="S7" s="6" t="n">
        <f aca="false">S5+S6</f>
        <v>212.951812179084</v>
      </c>
      <c r="T7" s="6" t="n">
        <f aca="false">T5+T6</f>
        <v>215.786045901093</v>
      </c>
      <c r="U7" s="6" t="n">
        <f aca="false">U5+U6</f>
        <v>218.519652319988</v>
      </c>
      <c r="V7" s="6" t="n">
        <f aca="false">V5+V6</f>
        <v>221.160399991154</v>
      </c>
      <c r="W7" s="6" t="n">
        <f aca="false">W5+W6</f>
        <v>223.714928459297</v>
      </c>
      <c r="X7" s="6" t="n">
        <f aca="false">X5+X6</f>
        <v>226.189099937215</v>
      </c>
      <c r="Y7" s="6" t="n">
        <f aca="false">Y5+Y6</f>
        <v>228.588224660403</v>
      </c>
      <c r="Z7" s="6" t="n">
        <f aca="false">Z5+Z6</f>
        <v>230.917201820319</v>
      </c>
      <c r="AA7" s="6" t="n">
        <f aca="false">AA5+AA6</f>
        <v>233.180604675155</v>
      </c>
      <c r="AB7" s="6" t="n">
        <f aca="false">AB5+AB6</f>
        <v>235.382729501549</v>
      </c>
      <c r="AC7" s="6" t="n">
        <f aca="false">AC5+AC6</f>
        <v>237.527621901045</v>
      </c>
      <c r="AD7" s="6" t="n">
        <f aca="false">AD5+AD6</f>
        <v>239.619089671686</v>
      </c>
      <c r="AE7" s="6" t="n">
        <f aca="false">AE5+AE6</f>
        <v>241.660708416463</v>
      </c>
      <c r="AF7" s="6" t="n">
        <f aca="false">AF5+AF6</f>
        <v>243.655823911341</v>
      </c>
      <c r="AG7" s="6" t="n">
        <f aca="false">AG5+AG6</f>
        <v>245.60755374387</v>
      </c>
      <c r="AH7" s="6" t="n">
        <f aca="false">AH5+AH6</f>
        <v>247.518789683353</v>
      </c>
      <c r="AI7" s="6" t="n">
        <f aca="false">AI5+AI6</f>
        <v>249.392201528834</v>
      </c>
      <c r="AJ7" s="6" t="n">
        <f aca="false">AJ5+AJ6</f>
        <v>251.23024270934</v>
      </c>
      <c r="AK7" s="6" t="n">
        <f aca="false">AK5+AK6</f>
        <v>253.03515761312</v>
      </c>
      <c r="AL7" s="6" t="n">
        <f aca="false">AL5+AL6</f>
        <v>254.808990447927</v>
      </c>
    </row>
    <row r="8" customFormat="false" ht="15" hidden="false" customHeight="true" outlineLevel="0" collapsed="false">
      <c r="A8" s="8" t="s">
        <v>247</v>
      </c>
      <c r="B8" s="9" t="n">
        <v>0</v>
      </c>
      <c r="C8" s="9" t="n">
        <f aca="false">(B7*(1-Вводные!$B$60)+C7*Вводные!$B$60)*Вводные!$B$11*C54</f>
        <v>23.7143855187638</v>
      </c>
      <c r="D8" s="9" t="n">
        <f aca="false">(C7*(1-Вводные!$B$60)+D7*Вводные!$B$60)*Вводные!$B$11*D54</f>
        <v>49.1087068168679</v>
      </c>
      <c r="E8" s="9" t="n">
        <f aca="false">(D7*(1-Вводные!$B$60)+E7*Вводные!$B$60)*Вводные!$B$11*E54</f>
        <v>54.2067693953944</v>
      </c>
      <c r="F8" s="9" t="n">
        <f aca="false">(E7*(1-Вводные!$B$60)+F7*Вводные!$B$60)*Вводные!$B$11*F54</f>
        <v>77.7641066140369</v>
      </c>
      <c r="G8" s="9" t="n">
        <f aca="false">(F7*(1-Вводные!$B$60)+G7*Вводные!$B$60)*Вводные!$B$11*G54</f>
        <v>73.583701713952</v>
      </c>
      <c r="H8" s="9" t="n">
        <f aca="false">(G7*(1-Вводные!$B$60)+H7*Вводные!$B$60)*Вводные!$B$11*H54</f>
        <v>73.4657066674804</v>
      </c>
      <c r="I8" s="9" t="n">
        <f aca="false">(H7*(1-Вводные!$B$60)+I7*Вводные!$B$60)*Вводные!$B$11*I54</f>
        <v>73.7589747405646</v>
      </c>
      <c r="J8" s="9" t="n">
        <f aca="false">(I7*(1-Вводные!$B$60)+J7*Вводные!$B$60)*Вводные!$B$11*J54</f>
        <v>74.152152094342</v>
      </c>
      <c r="K8" s="9" t="n">
        <f aca="false">(J7*(1-Вводные!$B$60)+K7*Вводные!$B$60)*Вводные!$B$11*K54</f>
        <v>74.5307629262432</v>
      </c>
      <c r="L8" s="9" t="n">
        <f aca="false">(K7*(1-Вводные!$B$60)+L7*Вводные!$B$60)*Вводные!$B$11*L54</f>
        <v>74.8568274784041</v>
      </c>
      <c r="M8" s="9" t="n">
        <f aca="false">(L7*(1-Вводные!$B$60)+M7*Вводные!$B$60)*Вводные!$B$11*M54</f>
        <v>75.1195873171268</v>
      </c>
      <c r="N8" s="9" t="n">
        <f aca="false">(M7*(1-Вводные!$B$60)+N7*Вводные!$B$60)*Вводные!$B$11*N54</f>
        <v>75.3193769007017</v>
      </c>
      <c r="O8" s="9" t="n">
        <f aca="false">(N7*(1-Вводные!$B$60)+O7*Вводные!$B$60)*Вводные!$B$11*O54</f>
        <v>76.3641119887238</v>
      </c>
      <c r="P8" s="9" t="n">
        <f aca="false">(O7*(1-Вводные!$B$60)+P7*Вводные!$B$60)*Вводные!$B$11*P54</f>
        <v>77.6978029004464</v>
      </c>
      <c r="Q8" s="9" t="n">
        <f aca="false">(P7*(1-Вводные!$B$60)+Q7*Вводные!$B$60)*Вводные!$B$11*Q54</f>
        <v>79.1355060056814</v>
      </c>
      <c r="R8" s="9" t="n">
        <f aca="false">(Q7*(1-Вводные!$B$60)+R7*Вводные!$B$60)*Вводные!$B$11*R54</f>
        <v>80.6407436270833</v>
      </c>
      <c r="S8" s="9" t="n">
        <f aca="false">(R7*(1-Вводные!$B$60)+S7*Вводные!$B$60)*Вводные!$B$11*S54</f>
        <v>82.1849650790741</v>
      </c>
      <c r="T8" s="9" t="n">
        <f aca="false">(S7*(1-Вводные!$B$60)+T7*Вводные!$B$60)*Вводные!$B$11*T54</f>
        <v>83.7481093384486</v>
      </c>
      <c r="U8" s="9" t="n">
        <f aca="false">(T7*(1-Вводные!$B$60)+U7*Вводные!$B$60)*Вводные!$B$11*U54</f>
        <v>85.3158873334223</v>
      </c>
      <c r="V8" s="9" t="n">
        <f aca="false">(U7*(1-Вводные!$B$60)+V7*Вводные!$B$60)*Вводные!$B$11*V54</f>
        <v>86.8781000932527</v>
      </c>
      <c r="W8" s="9" t="n">
        <f aca="false">(V7*(1-Вводные!$B$60)+W7*Вводные!$B$60)*Вводные!$B$11*W54</f>
        <v>88.427500308354</v>
      </c>
      <c r="X8" s="9" t="n">
        <f aca="false">(W7*(1-Вводные!$B$60)+X7*Вводные!$B$60)*Вводные!$B$11*X54</f>
        <v>89.9590013820964</v>
      </c>
      <c r="Y8" s="9" t="n">
        <f aca="false">(X7*(1-Вводные!$B$60)+Y7*Вводные!$B$60)*Вводные!$B$11*Y54</f>
        <v>91.4691143845337</v>
      </c>
      <c r="Z8" s="9" t="n">
        <f aca="false">(Y7*(1-Вводные!$B$60)+Z7*Вводные!$B$60)*Вводные!$B$11*Z54</f>
        <v>92.9555389594355</v>
      </c>
      <c r="AA8" s="9" t="n">
        <f aca="false">(Z7*(1-Вводные!$B$60)+AA7*Вводные!$B$60)*Вводные!$B$11*AA54</f>
        <v>94.4168609958052</v>
      </c>
      <c r="AB8" s="9" t="n">
        <f aca="false">(AA7*(1-Вводные!$B$60)+AB7*Вводные!$B$60)*Вводные!$B$11*AB54</f>
        <v>95.8523261178188</v>
      </c>
      <c r="AC8" s="9" t="n">
        <f aca="false">(AB7*(1-Вводные!$B$60)+AC7*Вводные!$B$60)*Вводные!$B$11*AC54</f>
        <v>97.2616681807932</v>
      </c>
      <c r="AD8" s="9" t="n">
        <f aca="false">(AC7*(1-Вводные!$B$60)+AD7*Вводные!$B$60)*Вводные!$B$11*AD54</f>
        <v>98.6449784387092</v>
      </c>
      <c r="AE8" s="9" t="n">
        <f aca="false">(AD7*(1-Вводные!$B$60)+AE7*Вводные!$B$60)*Вводные!$B$11*AE54</f>
        <v>100.002605282728</v>
      </c>
      <c r="AF8" s="9" t="n">
        <f aca="false">(AE7*(1-Вводные!$B$60)+AF7*Вводные!$B$60)*Вводные!$B$11*AF54</f>
        <v>101.335077276545</v>
      </c>
      <c r="AG8" s="9" t="n">
        <f aca="false">(AF7*(1-Вводные!$B$60)+AG7*Вводные!$B$60)*Вводные!$B$11*AG54</f>
        <v>102.643044141119</v>
      </c>
      <c r="AH8" s="9" t="n">
        <f aca="false">(AG7*(1-Вводные!$B$60)+AH7*Вводные!$B$60)*Вводные!$B$11*AH54</f>
        <v>103.927231682864</v>
      </c>
      <c r="AI8" s="9" t="n">
        <f aca="false">(AH7*(1-Вводные!$B$60)+AI7*Вводные!$B$60)*Вводные!$B$11*AI54</f>
        <v>105.188407613918</v>
      </c>
      <c r="AJ8" s="9" t="n">
        <f aca="false">(AI7*(1-Вводные!$B$60)+AJ7*Вводные!$B$60)*Вводные!$B$11*AJ54</f>
        <v>106.427355907114</v>
      </c>
      <c r="AK8" s="9" t="n">
        <f aca="false">(AJ7*(1-Вводные!$B$60)+AK7*Вводные!$B$60)*Вводные!$B$11*AK54</f>
        <v>107.644857843622</v>
      </c>
      <c r="AL8" s="9" t="n">
        <f aca="false">(AK7*(1-Вводные!$B$60)+AL7*Вводные!$B$60)*Вводные!$B$11*AL54</f>
        <v>108.841678301488</v>
      </c>
    </row>
    <row r="9" customFormat="false" ht="15" hidden="false" customHeight="true" outlineLevel="0" collapsed="false">
      <c r="A9" s="8" t="s">
        <v>248</v>
      </c>
      <c r="B9" s="9" t="n">
        <v>0</v>
      </c>
      <c r="C9" s="9" t="n">
        <f aca="false">B10*C56*C55</f>
        <v>0</v>
      </c>
      <c r="D9" s="9" t="n">
        <f aca="false">C10*D56*D55</f>
        <v>1.14779732442102</v>
      </c>
      <c r="E9" s="9" t="n">
        <f aca="false">D10*E56*E55</f>
        <v>3.36369539739898</v>
      </c>
      <c r="F9" s="9" t="n">
        <f aca="false">E10*F56*F55</f>
        <v>3.43797556625972</v>
      </c>
      <c r="G9" s="9" t="n">
        <f aca="false">F10*G56*G55</f>
        <v>6.49449024783974</v>
      </c>
      <c r="H9" s="9" t="n">
        <f aca="false">G10*H56*H55</f>
        <v>9.10916911303994</v>
      </c>
      <c r="I9" s="9" t="n">
        <f aca="false">H10*I56*I55</f>
        <v>11.5874445158115</v>
      </c>
      <c r="J9" s="9" t="n">
        <f aca="false">I10*J56*J55</f>
        <v>13.9632256545939</v>
      </c>
      <c r="K9" s="9" t="n">
        <f aca="false">J10*K56*K55</f>
        <v>16.2478188217794</v>
      </c>
      <c r="L9" s="9" t="n">
        <f aca="false">K10*L56*L55</f>
        <v>18.4452496749339</v>
      </c>
      <c r="M9" s="9" t="n">
        <f aca="false">L10*M56*M55</f>
        <v>20.5576675545774</v>
      </c>
      <c r="N9" s="9" t="n">
        <f aca="false">M10*N56*N55</f>
        <v>22.5869924886958</v>
      </c>
      <c r="O9" s="9" t="n">
        <f aca="false">N10*O56*O55</f>
        <v>24.2276370084955</v>
      </c>
      <c r="P9" s="9" t="n">
        <f aca="false">O10*P56*P55</f>
        <v>25.6925005646665</v>
      </c>
      <c r="Q9" s="9" t="n">
        <f aca="false">P10*Q56*Q55</f>
        <v>27.0650279191909</v>
      </c>
      <c r="R9" s="9" t="n">
        <f aca="false">Q10*R56*R55</f>
        <v>28.3677602650486</v>
      </c>
      <c r="S9" s="9" t="n">
        <f aca="false">R10*S56*S55</f>
        <v>29.6181448466112</v>
      </c>
      <c r="T9" s="9" t="n">
        <f aca="false">S10*T56*T55</f>
        <v>30.8291844678178</v>
      </c>
      <c r="U9" s="9" t="n">
        <f aca="false">T10*U56*U55</f>
        <v>32.0106555959743</v>
      </c>
      <c r="V9" s="9" t="n">
        <f aca="false">U10*V56*V55</f>
        <v>33.1699463068378</v>
      </c>
      <c r="W9" s="9" t="n">
        <f aca="false">V10*W56*W55</f>
        <v>34.312659548152</v>
      </c>
      <c r="X9" s="9" t="n">
        <f aca="false">W10*X56*X55</f>
        <v>35.4430529818765</v>
      </c>
      <c r="Y9" s="9" t="n">
        <f aca="false">X10*Y56*Y55</f>
        <v>36.5643634011926</v>
      </c>
      <c r="Z9" s="9" t="n">
        <f aca="false">Y10*Z56*Z55</f>
        <v>37.6790483442741</v>
      </c>
      <c r="AA9" s="9" t="n">
        <f aca="false">Z10*AA56*AA55</f>
        <v>38.788967530032</v>
      </c>
      <c r="AB9" s="9" t="n">
        <f aca="false">AA10*AB56*AB55</f>
        <v>39.8955200710668</v>
      </c>
      <c r="AC9" s="9" t="n">
        <f aca="false">AB10*AC56*AC55</f>
        <v>40.9997488779793</v>
      </c>
      <c r="AD9" s="9" t="n">
        <f aca="false">AC10*AD56*AD55</f>
        <v>42.1024205229853</v>
      </c>
      <c r="AE9" s="9" t="n">
        <f aca="false">AD10*AE56*AE55</f>
        <v>43.2040866173549</v>
      </c>
      <c r="AF9" s="9" t="n">
        <f aca="false">AE10*AF56*AF55</f>
        <v>44.3051311787443</v>
      </c>
      <c r="AG9" s="9" t="n">
        <f aca="false">AF10*AG56*AG55</f>
        <v>45.4058073251403</v>
      </c>
      <c r="AH9" s="9" t="n">
        <f aca="false">AG10*AH56*AH55</f>
        <v>46.5062658007879</v>
      </c>
      <c r="AI9" s="9" t="n">
        <f aca="false">AH10*AI56*AI55</f>
        <v>47.6065772269718</v>
      </c>
      <c r="AJ9" s="9" t="n">
        <f aca="false">AI10*AJ56*AJ55</f>
        <v>48.7067495153661</v>
      </c>
      <c r="AK9" s="9" t="n">
        <f aca="false">AJ10*AK56*AK55</f>
        <v>49.8067415408849</v>
      </c>
      <c r="AL9" s="9" t="n">
        <f aca="false">AK10*AL56*AL55</f>
        <v>50.9064739141265</v>
      </c>
    </row>
    <row r="10" customFormat="false" ht="15" hidden="false" customHeight="true" outlineLevel="0" collapsed="false">
      <c r="A10" s="5" t="s">
        <v>249</v>
      </c>
      <c r="B10" s="6" t="n">
        <v>0</v>
      </c>
      <c r="C10" s="6" t="n">
        <f aca="false">B10+C8-C9</f>
        <v>23.7143855187638</v>
      </c>
      <c r="D10" s="6" t="n">
        <f aca="false">C10+D8-D9</f>
        <v>71.6752950112106</v>
      </c>
      <c r="E10" s="6" t="n">
        <f aca="false">D10+E8-E9</f>
        <v>122.518369009206</v>
      </c>
      <c r="F10" s="6" t="n">
        <f aca="false">E10+F8-F9</f>
        <v>196.844500056983</v>
      </c>
      <c r="G10" s="6" t="n">
        <f aca="false">F10+G8-G9</f>
        <v>263.933711523096</v>
      </c>
      <c r="H10" s="6" t="n">
        <f aca="false">G10+H8-H9</f>
        <v>328.290249077536</v>
      </c>
      <c r="I10" s="6" t="n">
        <f aca="false">H10+I8-I9</f>
        <v>390.461779302289</v>
      </c>
      <c r="J10" s="6" t="n">
        <f aca="false">I10+J8-J9</f>
        <v>450.650705742037</v>
      </c>
      <c r="K10" s="6" t="n">
        <f aca="false">J10+K8-K9</f>
        <v>508.933649846501</v>
      </c>
      <c r="L10" s="6" t="n">
        <f aca="false">K10+L8-L9</f>
        <v>565.345227649971</v>
      </c>
      <c r="M10" s="6" t="n">
        <f aca="false">L10+M8-M9</f>
        <v>619.907147412521</v>
      </c>
      <c r="N10" s="6" t="n">
        <f aca="false">M10+N8-N9</f>
        <v>672.639531824527</v>
      </c>
      <c r="O10" s="6" t="n">
        <f aca="false">N10+O8-O9</f>
        <v>724.776006804755</v>
      </c>
      <c r="P10" s="6" t="n">
        <f aca="false">O10+P8-P9</f>
        <v>776.781309140535</v>
      </c>
      <c r="Q10" s="6" t="n">
        <f aca="false">P10+Q8-Q9</f>
        <v>828.851787227025</v>
      </c>
      <c r="R10" s="6" t="n">
        <f aca="false">Q10+R8-R9</f>
        <v>881.12477058906</v>
      </c>
      <c r="S10" s="6" t="n">
        <f aca="false">R10+S8-S9</f>
        <v>933.691590821523</v>
      </c>
      <c r="T10" s="6" t="n">
        <f aca="false">S10+T8-T9</f>
        <v>986.610515692154</v>
      </c>
      <c r="U10" s="6" t="n">
        <f aca="false">T10+U8-U9</f>
        <v>1039.9157474296</v>
      </c>
      <c r="V10" s="6" t="n">
        <f aca="false">U10+V8-V9</f>
        <v>1093.62390121602</v>
      </c>
      <c r="W10" s="6" t="n">
        <f aca="false">V10+W8-W9</f>
        <v>1147.73874197622</v>
      </c>
      <c r="X10" s="6" t="n">
        <f aca="false">W10+X8-X9</f>
        <v>1202.25469037644</v>
      </c>
      <c r="Y10" s="6" t="n">
        <f aca="false">X10+Y8-Y9</f>
        <v>1257.15944135978</v>
      </c>
      <c r="Z10" s="6" t="n">
        <f aca="false">Y10+Z8-Z9</f>
        <v>1312.43593197494</v>
      </c>
      <c r="AA10" s="6" t="n">
        <f aca="false">Z10+AA8-AA9</f>
        <v>1368.06382544071</v>
      </c>
      <c r="AB10" s="6" t="n">
        <f aca="false">AA10+AB8-AB9</f>
        <v>1424.02063148747</v>
      </c>
      <c r="AC10" s="6" t="n">
        <f aca="false">AB10+AC8-AC9</f>
        <v>1480.28255079028</v>
      </c>
      <c r="AD10" s="6" t="n">
        <f aca="false">AC10+AD8-AD9</f>
        <v>1536.825108706</v>
      </c>
      <c r="AE10" s="6" t="n">
        <f aca="false">AD10+AE8-AE9</f>
        <v>1593.62362737138</v>
      </c>
      <c r="AF10" s="6" t="n">
        <f aca="false">AE10+AF8-AF9</f>
        <v>1650.65357346918</v>
      </c>
      <c r="AG10" s="6" t="n">
        <f aca="false">AF10+AG8-AG9</f>
        <v>1707.89081028516</v>
      </c>
      <c r="AH10" s="6" t="n">
        <f aca="false">AG10+AH8-AH9</f>
        <v>1765.31177616723</v>
      </c>
      <c r="AI10" s="6" t="n">
        <f aca="false">AH10+AI8-AI9</f>
        <v>1822.89360655418</v>
      </c>
      <c r="AJ10" s="6" t="n">
        <f aca="false">AI10+AJ8-AJ9</f>
        <v>1880.61421294592</v>
      </c>
      <c r="AK10" s="6" t="n">
        <f aca="false">AJ10+AK8-AK9</f>
        <v>1938.45232924866</v>
      </c>
      <c r="AL10" s="6" t="n">
        <f aca="false">AK10+AL8-AL9</f>
        <v>1996.38753363602</v>
      </c>
    </row>
    <row r="11" customFormat="false" ht="15" hidden="false" customHeight="true" outlineLevel="0" collapsed="false">
      <c r="A11" s="8" t="s">
        <v>10</v>
      </c>
      <c r="B11" s="10" t="n">
        <v>0</v>
      </c>
      <c r="C11" s="10" t="n">
        <f aca="false">IFERROR(C10/Вводные!$B$6,0)</f>
        <v>0.000868658810211128</v>
      </c>
      <c r="D11" s="10" t="n">
        <f aca="false">IFERROR(D10/Вводные!$B$6,0)</f>
        <v>0.00262546868172933</v>
      </c>
      <c r="E11" s="10" t="n">
        <f aca="false">IFERROR(E10/Вводные!$B$6,0)</f>
        <v>0.00448785234465956</v>
      </c>
      <c r="F11" s="10" t="n">
        <f aca="false">IFERROR(F10/Вводные!$B$6,0)</f>
        <v>0.00721042124750854</v>
      </c>
      <c r="G11" s="10" t="n">
        <f aca="false">IFERROR(G10/Вводные!$B$6,0)</f>
        <v>0.00966790152099251</v>
      </c>
      <c r="H11" s="10" t="n">
        <f aca="false">IFERROR(H10/Вводные!$B$6,0)</f>
        <v>0.012025283848994</v>
      </c>
      <c r="I11" s="10" t="n">
        <f aca="false">IFERROR(I10/Вводные!$B$6,0)</f>
        <v>0.0143026292784721</v>
      </c>
      <c r="J11" s="10" t="n">
        <f aca="false">IFERROR(J10/Вводные!$B$6,0)</f>
        <v>0.0165073518586827</v>
      </c>
      <c r="K11" s="10" t="n">
        <f aca="false">IFERROR(K10/Вводные!$B$6,0)</f>
        <v>0.0186422582361356</v>
      </c>
      <c r="L11" s="10" t="n">
        <f aca="false">IFERROR(L10/Вводные!$B$6,0)</f>
        <v>0.0207086163974349</v>
      </c>
      <c r="M11" s="10" t="n">
        <f aca="false">IFERROR(M10/Вводные!$B$6,0)</f>
        <v>0.0227072215169422</v>
      </c>
      <c r="N11" s="10" t="n">
        <f aca="false">IFERROR(N10/Вводные!$B$6,0)</f>
        <v>0.0246388106895431</v>
      </c>
      <c r="O11" s="10" t="n">
        <f aca="false">IFERROR(O10/Вводные!$B$6,0)</f>
        <v>0.0265485716778298</v>
      </c>
      <c r="P11" s="10" t="n">
        <f aca="false">IFERROR(P10/Вводные!$B$6,0)</f>
        <v>0.0284535278073456</v>
      </c>
      <c r="Q11" s="10" t="n">
        <f aca="false">IFERROR(Q10/Вводные!$B$6,0)</f>
        <v>0.0303608713269973</v>
      </c>
      <c r="R11" s="10" t="n">
        <f aca="false">IFERROR(R10/Вводные!$B$6,0)</f>
        <v>0.0322756326223099</v>
      </c>
      <c r="S11" s="10" t="n">
        <f aca="false">IFERROR(S10/Вводные!$B$6,0)</f>
        <v>0.0342011571729495</v>
      </c>
      <c r="T11" s="10" t="n">
        <f aca="false">IFERROR(T10/Вводные!$B$6,0)</f>
        <v>0.0361395793293829</v>
      </c>
      <c r="U11" s="10" t="n">
        <f aca="false">IFERROR(U10/Вводные!$B$6,0)</f>
        <v>0.0380921519204982</v>
      </c>
      <c r="V11" s="10" t="n">
        <f aca="false">IFERROR(V10/Вводные!$B$6,0)</f>
        <v>0.0400594835610262</v>
      </c>
      <c r="W11" s="10" t="n">
        <f aca="false">IFERROR(W10/Вводные!$B$6,0)</f>
        <v>0.042041712160301</v>
      </c>
      <c r="X11" s="10" t="n">
        <f aca="false">IFERROR(X10/Вводные!$B$6,0)</f>
        <v>0.0440386333471223</v>
      </c>
      <c r="Y11" s="10" t="n">
        <f aca="false">IFERROR(Y10/Вводные!$B$6,0)</f>
        <v>0.0460497963868051</v>
      </c>
      <c r="Z11" s="10" t="n">
        <f aca="false">IFERROR(Z10/Вводные!$B$6,0)</f>
        <v>0.0480745762628183</v>
      </c>
      <c r="AA11" s="10" t="n">
        <f aca="false">IFERROR(AA10/Вводные!$B$6,0)</f>
        <v>0.0501122280381214</v>
      </c>
      <c r="AB11" s="10" t="n">
        <f aca="false">IFERROR(AB10/Вводные!$B$6,0)</f>
        <v>0.0521619278933138</v>
      </c>
      <c r="AC11" s="10" t="n">
        <f aca="false">IFERROR(AC10/Вводные!$B$6,0)</f>
        <v>0.054222804058252</v>
      </c>
      <c r="AD11" s="10" t="n">
        <f aca="false">IFERROR(AD10/Вводные!$B$6,0)</f>
        <v>0.0562939600258609</v>
      </c>
      <c r="AE11" s="10" t="n">
        <f aca="false">IFERROR(AE10/Вводные!$B$6,0)</f>
        <v>0.0583744918451054</v>
      </c>
      <c r="AF11" s="10" t="n">
        <f aca="false">IFERROR(AF10/Вводные!$B$6,0)</f>
        <v>0.0604635008596768</v>
      </c>
      <c r="AG11" s="10" t="n">
        <f aca="false">IFERROR(AG10/Вводные!$B$6,0)</f>
        <v>0.0625601029408482</v>
      </c>
      <c r="AH11" s="10" t="n">
        <f aca="false">IFERROR(AH10/Вводные!$B$6,0)</f>
        <v>0.0646634350244407</v>
      </c>
      <c r="AI11" s="10" t="n">
        <f aca="false">IFERROR(AI10/Вводные!$B$6,0)</f>
        <v>0.0667726595807391</v>
      </c>
      <c r="AJ11" s="10" t="n">
        <f aca="false">IFERROR(AJ10/Вводные!$B$6,0)</f>
        <v>0.0688869675071767</v>
      </c>
      <c r="AK11" s="10" t="n">
        <f aca="false">IFERROR(AK10/Вводные!$B$6,0)</f>
        <v>0.0710055798259583</v>
      </c>
      <c r="AL11" s="10" t="n">
        <f aca="false">IFERROR(AL10/Вводные!$B$6,0)</f>
        <v>0.073127748484836</v>
      </c>
    </row>
    <row r="13" customFormat="false" ht="15" hidden="false" customHeight="true" outlineLevel="0" collapsed="false">
      <c r="A13" s="3" t="s">
        <v>250</v>
      </c>
    </row>
    <row r="14" customFormat="false" ht="15" hidden="false" customHeight="true" outlineLevel="0" collapsed="false">
      <c r="A14" s="8" t="s">
        <v>251</v>
      </c>
      <c r="B14" s="9" t="n">
        <f aca="false">Маркетинг!B16*B45*B50</f>
        <v>0</v>
      </c>
      <c r="C14" s="9" t="n">
        <f aca="false">Маркетинг!C16*C45*C50</f>
        <v>0</v>
      </c>
      <c r="D14" s="9" t="n">
        <f aca="false">Маркетинг!D16*D45*D50</f>
        <v>0</v>
      </c>
      <c r="E14" s="9" t="n">
        <f aca="false">Маркетинг!E16*E45*E50</f>
        <v>541.718381833408</v>
      </c>
      <c r="F14" s="9" t="n">
        <f aca="false">Маркетинг!F16*F45*F50</f>
        <v>541.586186120161</v>
      </c>
      <c r="G14" s="9" t="n">
        <f aca="false">Маркетинг!G16*G45*G50</f>
        <v>541.36373551427</v>
      </c>
      <c r="H14" s="9" t="n">
        <f aca="false">Маркетинг!H16*H45*H50</f>
        <v>541.176136859401</v>
      </c>
      <c r="I14" s="9" t="n">
        <f aca="false">Маркетинг!I16*I45*I50</f>
        <v>541.008335408769</v>
      </c>
      <c r="J14" s="9" t="n">
        <f aca="false">Маркетинг!J16*J45*J50</f>
        <v>540.85711734635</v>
      </c>
      <c r="K14" s="9" t="n">
        <f aca="false">Маркетинг!K16*K45*K50</f>
        <v>540.72048047712</v>
      </c>
      <c r="L14" s="9" t="n">
        <f aca="false">Маркетинг!L16*L45*L50</f>
        <v>540.596952995308</v>
      </c>
      <c r="M14" s="9" t="n">
        <f aca="false">Маркетинг!M16*M45*M50</f>
        <v>540.485322849</v>
      </c>
      <c r="N14" s="9" t="n">
        <f aca="false">Маркетинг!N16*N45*N50</f>
        <v>581.576796905973</v>
      </c>
      <c r="O14" s="9" t="n">
        <f aca="false">Маркетинг!O16*O45*O50</f>
        <v>630.94246628214</v>
      </c>
      <c r="P14" s="9" t="n">
        <f aca="false">Маркетинг!P16*P45*P50</f>
        <v>679.737184643581</v>
      </c>
      <c r="Q14" s="9" t="n">
        <f aca="false">Маркетинг!Q16*Q45*Q50</f>
        <v>728.39561856202</v>
      </c>
      <c r="R14" s="9" t="n">
        <f aca="false">Маркетинг!R16*R45*R50</f>
        <v>777.101777871461</v>
      </c>
      <c r="S14" s="9" t="n">
        <f aca="false">Маркетинг!S16*S45*S50</f>
        <v>825.984252625222</v>
      </c>
      <c r="T14" s="9" t="n">
        <f aca="false">Маркетинг!T16*T45*T50</f>
        <v>875.12848865351</v>
      </c>
      <c r="U14" s="9" t="n">
        <f aca="false">Маркетинг!U16*U45*U50</f>
        <v>924.588936119141</v>
      </c>
      <c r="V14" s="9" t="n">
        <f aca="false">Маркетинг!V16*V45*V50</f>
        <v>974.397499594961</v>
      </c>
      <c r="W14" s="9" t="n">
        <f aca="false">Маркетинг!W16*W45*W50</f>
        <v>1024.56961966641</v>
      </c>
      <c r="X14" s="9" t="n">
        <f aca="false">Маркетинг!X16*X45*X50</f>
        <v>1075.10871771936</v>
      </c>
      <c r="Y14" s="9" t="n">
        <f aca="false">Маркетинг!Y16*Y45*Y50</f>
        <v>1126.00948427891</v>
      </c>
      <c r="Z14" s="9" t="n">
        <f aca="false">Маркетинг!Z16*Z45*Z50</f>
        <v>1177.2603336824</v>
      </c>
      <c r="AA14" s="9" t="n">
        <f aca="false">Маркетинг!AA16*AA45*AA50</f>
        <v>1228.84524766378</v>
      </c>
      <c r="AB14" s="9" t="n">
        <f aca="false">Маркетинг!AB16*AB45*AB50</f>
        <v>1280.74516478266</v>
      </c>
      <c r="AC14" s="9" t="n">
        <f aca="false">Маркетинг!AC16*AC45*AC50</f>
        <v>1332.93902853107</v>
      </c>
      <c r="AD14" s="9" t="n">
        <f aca="false">Маркетинг!AD16*AD45*AD50</f>
        <v>1385.40457664768</v>
      </c>
      <c r="AE14" s="9" t="n">
        <f aca="false">Маркетинг!AE16*AE45*AE50</f>
        <v>1438.11893291501</v>
      </c>
      <c r="AF14" s="9" t="n">
        <f aca="false">Маркетинг!AF16*AF45*AF50</f>
        <v>1491.05904752268</v>
      </c>
      <c r="AG14" s="9" t="n">
        <f aca="false">Маркетинг!AG16*AG45*AG50</f>
        <v>1544.20202102946</v>
      </c>
      <c r="AH14" s="9" t="n">
        <f aca="false">Маркетинг!AH16*AH45*AH50</f>
        <v>1597.52533879053</v>
      </c>
      <c r="AI14" s="9" t="n">
        <f aca="false">Маркетинг!AI16*AI45*AI50</f>
        <v>1651.00703659356</v>
      </c>
      <c r="AJ14" s="9" t="n">
        <f aca="false">Маркетинг!AJ16*AJ45*AJ50</f>
        <v>1704.62581359896</v>
      </c>
      <c r="AK14" s="9" t="n">
        <f aca="false">Маркетинг!AK16*AK45*AK50</f>
        <v>1758.36110511299</v>
      </c>
      <c r="AL14" s="9" t="n">
        <f aca="false">Маркетинг!AL16*AL45*AL50</f>
        <v>1812.193124961</v>
      </c>
    </row>
    <row r="15" customFormat="false" ht="15" hidden="false" customHeight="true" outlineLevel="0" collapsed="false">
      <c r="A15" s="8" t="s">
        <v>252</v>
      </c>
      <c r="B15" s="9" t="n">
        <v>0</v>
      </c>
      <c r="C15" s="9" t="n">
        <f aca="false">C8*Вводные!$B$14</f>
        <v>308.287011743929</v>
      </c>
      <c r="D15" s="9" t="n">
        <f aca="false">D8*Вводные!$B$14</f>
        <v>638.413188619282</v>
      </c>
      <c r="E15" s="9" t="n">
        <f aca="false">E8*Вводные!$B$14</f>
        <v>704.688002140127</v>
      </c>
      <c r="F15" s="9" t="n">
        <f aca="false">F8*Вводные!$B$14</f>
        <v>1010.93338598248</v>
      </c>
      <c r="G15" s="9" t="n">
        <f aca="false">G8*Вводные!$B$14</f>
        <v>956.588122281376</v>
      </c>
      <c r="H15" s="9" t="n">
        <f aca="false">H8*Вводные!$B$14</f>
        <v>955.054186677245</v>
      </c>
      <c r="I15" s="9" t="n">
        <f aca="false">I8*Вводные!$B$14</f>
        <v>958.866671627339</v>
      </c>
      <c r="J15" s="9" t="n">
        <f aca="false">J8*Вводные!$B$14</f>
        <v>963.977977226447</v>
      </c>
      <c r="K15" s="9" t="n">
        <f aca="false">K8*Вводные!$B$14</f>
        <v>968.899918041162</v>
      </c>
      <c r="L15" s="9" t="n">
        <f aca="false">L8*Вводные!$B$14</f>
        <v>973.138757219254</v>
      </c>
      <c r="M15" s="9" t="n">
        <f aca="false">M8*Вводные!$B$14</f>
        <v>976.554635122648</v>
      </c>
      <c r="N15" s="9" t="n">
        <f aca="false">N8*Вводные!$B$14</f>
        <v>979.151899709122</v>
      </c>
      <c r="O15" s="9" t="n">
        <f aca="false">O8*Вводные!$B$14</f>
        <v>992.73345585341</v>
      </c>
      <c r="P15" s="9" t="n">
        <f aca="false">P8*Вводные!$B$14</f>
        <v>1010.0714377058</v>
      </c>
      <c r="Q15" s="9" t="n">
        <f aca="false">Q8*Вводные!$B$14</f>
        <v>1028.76157807386</v>
      </c>
      <c r="R15" s="9" t="n">
        <f aca="false">R8*Вводные!$B$14</f>
        <v>1048.32966715208</v>
      </c>
      <c r="S15" s="9" t="n">
        <f aca="false">S8*Вводные!$B$14</f>
        <v>1068.40454602796</v>
      </c>
      <c r="T15" s="9" t="n">
        <f aca="false">T8*Вводные!$B$14</f>
        <v>1088.72542139983</v>
      </c>
      <c r="U15" s="9" t="n">
        <f aca="false">U8*Вводные!$B$14</f>
        <v>1109.10653533449</v>
      </c>
      <c r="V15" s="9" t="n">
        <f aca="false">V8*Вводные!$B$14</f>
        <v>1129.41530121229</v>
      </c>
      <c r="W15" s="9" t="n">
        <f aca="false">W8*Вводные!$B$14</f>
        <v>1149.5575040086</v>
      </c>
      <c r="X15" s="9" t="n">
        <f aca="false">X8*Вводные!$B$14</f>
        <v>1169.46701796725</v>
      </c>
      <c r="Y15" s="9" t="n">
        <f aca="false">Y8*Вводные!$B$14</f>
        <v>1189.09848699894</v>
      </c>
      <c r="Z15" s="9" t="n">
        <f aca="false">Z8*Вводные!$B$14</f>
        <v>1208.42200647266</v>
      </c>
      <c r="AA15" s="9" t="n">
        <f aca="false">AA8*Вводные!$B$14</f>
        <v>1227.41919294547</v>
      </c>
      <c r="AB15" s="9" t="n">
        <f aca="false">AB8*Вводные!$B$14</f>
        <v>1246.08023953164</v>
      </c>
      <c r="AC15" s="9" t="n">
        <f aca="false">AC8*Вводные!$B$14</f>
        <v>1264.40168635031</v>
      </c>
      <c r="AD15" s="9" t="n">
        <f aca="false">AD8*Вводные!$B$14</f>
        <v>1282.38471970322</v>
      </c>
      <c r="AE15" s="9" t="n">
        <f aca="false">AE8*Вводные!$B$14</f>
        <v>1300.03386867546</v>
      </c>
      <c r="AF15" s="9" t="n">
        <f aca="false">AF8*Вводные!$B$14</f>
        <v>1317.35600459508</v>
      </c>
      <c r="AG15" s="9" t="n">
        <f aca="false">AG8*Вводные!$B$14</f>
        <v>1334.35957383454</v>
      </c>
      <c r="AH15" s="9" t="n">
        <f aca="false">AH8*Вводные!$B$14</f>
        <v>1351.05401187723</v>
      </c>
      <c r="AI15" s="9" t="n">
        <f aca="false">AI8*Вводные!$B$14</f>
        <v>1367.44929898093</v>
      </c>
      <c r="AJ15" s="9" t="n">
        <f aca="false">AJ8*Вводные!$B$14</f>
        <v>1383.55562679248</v>
      </c>
      <c r="AK15" s="9" t="n">
        <f aca="false">AK8*Вводные!$B$14</f>
        <v>1399.38315196709</v>
      </c>
      <c r="AL15" s="9" t="n">
        <f aca="false">AL8*Вводные!$B$14</f>
        <v>1414.94181791934</v>
      </c>
    </row>
    <row r="16" customFormat="false" ht="15" hidden="false" customHeight="true" outlineLevel="0" collapsed="false">
      <c r="A16" s="8" t="s">
        <v>253</v>
      </c>
      <c r="B16" s="9" t="n">
        <v>0</v>
      </c>
      <c r="C16" s="9" t="n">
        <f aca="false">B14*Вводные!$B$18</f>
        <v>0</v>
      </c>
      <c r="D16" s="9" t="n">
        <f aca="false">C14*Вводные!$B$18</f>
        <v>0</v>
      </c>
      <c r="E16" s="9" t="n">
        <f aca="false">D14*Вводные!$B$18</f>
        <v>0</v>
      </c>
      <c r="F16" s="9" t="n">
        <f aca="false">E14*Вводные!$B$18</f>
        <v>173.349882186691</v>
      </c>
      <c r="G16" s="9" t="n">
        <f aca="false">F14*Вводные!$B$18</f>
        <v>173.307579558452</v>
      </c>
      <c r="H16" s="9" t="n">
        <f aca="false">G14*Вводные!$B$18</f>
        <v>173.236395364566</v>
      </c>
      <c r="I16" s="9" t="n">
        <f aca="false">H14*Вводные!$B$18</f>
        <v>173.176363795008</v>
      </c>
      <c r="J16" s="9" t="n">
        <f aca="false">I14*Вводные!$B$18</f>
        <v>173.122667330806</v>
      </c>
      <c r="K16" s="9" t="n">
        <f aca="false">J14*Вводные!$B$18</f>
        <v>173.074277550832</v>
      </c>
      <c r="L16" s="9" t="n">
        <f aca="false">K14*Вводные!$B$18</f>
        <v>173.030553752679</v>
      </c>
      <c r="M16" s="9" t="n">
        <f aca="false">L14*Вводные!$B$18</f>
        <v>172.991024958499</v>
      </c>
      <c r="N16" s="9" t="n">
        <f aca="false">M14*Вводные!$B$18</f>
        <v>172.95530331168</v>
      </c>
      <c r="O16" s="9" t="n">
        <f aca="false">N14*Вводные!$B$18</f>
        <v>186.104575009911</v>
      </c>
      <c r="P16" s="9" t="n">
        <f aca="false">O14*Вводные!$B$18</f>
        <v>201.901589210285</v>
      </c>
      <c r="Q16" s="9" t="n">
        <f aca="false">P14*Вводные!$B$18</f>
        <v>217.515899085946</v>
      </c>
      <c r="R16" s="9" t="n">
        <f aca="false">Q14*Вводные!$B$18</f>
        <v>233.086597939846</v>
      </c>
      <c r="S16" s="9" t="n">
        <f aca="false">R14*Вводные!$B$18</f>
        <v>248.672568918867</v>
      </c>
      <c r="T16" s="9" t="n">
        <f aca="false">S14*Вводные!$B$18</f>
        <v>264.314960840071</v>
      </c>
      <c r="U16" s="9" t="n">
        <f aca="false">T14*Вводные!$B$18</f>
        <v>280.041116369123</v>
      </c>
      <c r="V16" s="9" t="n">
        <f aca="false">U14*Вводные!$B$18</f>
        <v>295.868459558125</v>
      </c>
      <c r="W16" s="9" t="n">
        <f aca="false">V14*Вводные!$B$18</f>
        <v>311.807199870388</v>
      </c>
      <c r="X16" s="9" t="n">
        <f aca="false">W14*Вводные!$B$18</f>
        <v>327.862278293251</v>
      </c>
      <c r="Y16" s="9" t="n">
        <f aca="false">X14*Вводные!$B$18</f>
        <v>344.034789670195</v>
      </c>
      <c r="Z16" s="9" t="n">
        <f aca="false">Y14*Вводные!$B$18</f>
        <v>360.323034969252</v>
      </c>
      <c r="AA16" s="9" t="n">
        <f aca="false">Z14*Вводные!$B$18</f>
        <v>376.723306778368</v>
      </c>
      <c r="AB16" s="9" t="n">
        <f aca="false">AA14*Вводные!$B$18</f>
        <v>393.230479252408</v>
      </c>
      <c r="AC16" s="9" t="n">
        <f aca="false">AB14*Вводные!$B$18</f>
        <v>409.838452730452</v>
      </c>
      <c r="AD16" s="9" t="n">
        <f aca="false">AC14*Вводные!$B$18</f>
        <v>426.540489129943</v>
      </c>
      <c r="AE16" s="9" t="n">
        <f aca="false">AD14*Вводные!$B$18</f>
        <v>443.329464527258</v>
      </c>
      <c r="AF16" s="9" t="n">
        <f aca="false">AE14*Вводные!$B$18</f>
        <v>460.198058532804</v>
      </c>
      <c r="AG16" s="9" t="n">
        <f aca="false">AF14*Вводные!$B$18</f>
        <v>477.138895207257</v>
      </c>
      <c r="AH16" s="9" t="n">
        <f aca="false">AG14*Вводные!$B$18</f>
        <v>494.144646729426</v>
      </c>
      <c r="AI16" s="9" t="n">
        <f aca="false">AH14*Вводные!$B$18</f>
        <v>511.208108412971</v>
      </c>
      <c r="AJ16" s="9" t="n">
        <f aca="false">AI14*Вводные!$B$18</f>
        <v>528.32225170994</v>
      </c>
      <c r="AK16" s="9" t="n">
        <f aca="false">AJ14*Вводные!$B$18</f>
        <v>545.480260351667</v>
      </c>
      <c r="AL16" s="9" t="n">
        <f aca="false">AK14*Вводные!$B$18</f>
        <v>562.675553636157</v>
      </c>
    </row>
    <row r="17" customFormat="false" ht="15" hidden="false" customHeight="true" outlineLevel="0" collapsed="false">
      <c r="A17" s="8" t="s">
        <v>254</v>
      </c>
      <c r="B17" s="9" t="n">
        <v>0</v>
      </c>
      <c r="C17" s="9" t="n">
        <f aca="false">B18*Вводные!$B$19</f>
        <v>0</v>
      </c>
      <c r="D17" s="9" t="n">
        <f aca="false">C18*Вводные!$B$19</f>
        <v>31.9616185168931</v>
      </c>
      <c r="E17" s="9" t="n">
        <f aca="false">D18*Вводные!$B$19</f>
        <v>94.8354114247939</v>
      </c>
      <c r="F17" s="9" t="n">
        <f aca="false">E18*Вводные!$B$19</f>
        <v>158.061804731862</v>
      </c>
      <c r="G17" s="9" t="n">
        <f aca="false">F18*Вводные!$B$19</f>
        <v>264.455190371719</v>
      </c>
      <c r="H17" s="9" t="n">
        <f aca="false">G18*Вводные!$B$19</f>
        <v>354.179630334776</v>
      </c>
      <c r="I17" s="9" t="n">
        <f aca="false">H18*Вводные!$B$19</f>
        <v>434.435489276899</v>
      </c>
      <c r="J17" s="9" t="n">
        <f aca="false">I18*Вводные!$B$19</f>
        <v>506.759866934842</v>
      </c>
      <c r="K17" s="9" t="n">
        <f aca="false">J18*Вводные!$B$19</f>
        <v>572.110370532261</v>
      </c>
      <c r="L17" s="9" t="n">
        <f aca="false">K18*Вводные!$B$19</f>
        <v>631.190933414571</v>
      </c>
      <c r="M17" s="9" t="n">
        <f aca="false">L18*Вводные!$B$19</f>
        <v>684.581254190098</v>
      </c>
      <c r="N17" s="9" t="n">
        <f aca="false">M18*Вводные!$B$19</f>
        <v>732.786382524753</v>
      </c>
      <c r="O17" s="9" t="n">
        <f aca="false">N18*Вводные!$B$19</f>
        <v>776.259417684656</v>
      </c>
      <c r="P17" s="9" t="n">
        <f aca="false">O18*Вводные!$B$19</f>
        <v>817.996706533413</v>
      </c>
      <c r="Q17" s="9" t="n">
        <f aca="false">P18*Вводные!$B$19</f>
        <v>858.842153720853</v>
      </c>
      <c r="R17" s="9" t="n">
        <f aca="false">Q18*Вводные!$B$19</f>
        <v>899.009463844221</v>
      </c>
      <c r="S17" s="9" t="n">
        <f aca="false">R18*Вводные!$B$19</f>
        <v>938.655442539868</v>
      </c>
      <c r="T17" s="9" t="n">
        <f aca="false">S18*Вводные!$B$19</f>
        <v>977.888263486741</v>
      </c>
      <c r="U17" s="9" t="n">
        <f aca="false">T18*Вводные!$B$19</f>
        <v>1016.78211385548</v>
      </c>
      <c r="V17" s="9" t="n">
        <f aca="false">U18*Вводные!$B$19</f>
        <v>1055.38706578717</v>
      </c>
      <c r="W17" s="9" t="n">
        <f aca="false">V18*Вводные!$B$19</f>
        <v>1093.73606073456</v>
      </c>
      <c r="X17" s="9" t="n">
        <f aca="false">W18*Вводные!$B$19</f>
        <v>1131.8499156829</v>
      </c>
      <c r="Y17" s="9" t="n">
        <f aca="false">X18*Вводные!$B$19</f>
        <v>1169.74094609554</v>
      </c>
      <c r="Z17" s="9" t="n">
        <f aca="false">Y18*Вводные!$B$19</f>
        <v>1207.41560185238</v>
      </c>
      <c r="AA17" s="9" t="n">
        <f aca="false">Z18*Вводные!$B$19</f>
        <v>1244.87638763688</v>
      </c>
      <c r="AB17" s="9" t="n">
        <f aca="false">AA18*Вводные!$B$19</f>
        <v>1282.12325819304</v>
      </c>
      <c r="AC17" s="9" t="n">
        <f aca="false">AB18*Вводные!$B$19</f>
        <v>1319.1546248077</v>
      </c>
      <c r="AD17" s="9" t="n">
        <f aca="false">AC18*Вводные!$B$19</f>
        <v>1355.96807239302</v>
      </c>
      <c r="AE17" s="9" t="n">
        <f aca="false">AD18*Вводные!$B$19</f>
        <v>1392.5608606649</v>
      </c>
      <c r="AF17" s="9" t="n">
        <f aca="false">AE18*Вводные!$B$19</f>
        <v>1428.93026441827</v>
      </c>
      <c r="AG17" s="9" t="n">
        <f aca="false">AF18*Вводные!$B$19</f>
        <v>1465.073794427</v>
      </c>
      <c r="AH17" s="9" t="n">
        <f aca="false">AG18*Вводные!$B$19</f>
        <v>1500.98933051216</v>
      </c>
      <c r="AI17" s="9" t="n">
        <f aca="false">AH18*Вводные!$B$19</f>
        <v>1536.67519081578</v>
      </c>
      <c r="AJ17" s="9" t="n">
        <f aca="false">AI18*Вводные!$B$19</f>
        <v>1572.1301556033</v>
      </c>
      <c r="AK17" s="9" t="n">
        <f aca="false">AJ18*Вводные!$B$19</f>
        <v>1607.35345952992</v>
      </c>
      <c r="AL17" s="9" t="n">
        <f aca="false">AK18*Вводные!$B$19</f>
        <v>1642.34476291201</v>
      </c>
    </row>
    <row r="18" customFormat="false" ht="15" hidden="false" customHeight="true" outlineLevel="0" collapsed="false">
      <c r="A18" s="5" t="s">
        <v>255</v>
      </c>
      <c r="B18" s="6" t="n">
        <v>0</v>
      </c>
      <c r="C18" s="6" t="n">
        <f aca="false">B18+C15+C16-C17</f>
        <v>308.287011743929</v>
      </c>
      <c r="D18" s="6" t="n">
        <f aca="false">C18+D15+D16-D17</f>
        <v>914.738581846318</v>
      </c>
      <c r="E18" s="6" t="n">
        <f aca="false">D18+E15+E16-E17</f>
        <v>1524.59117256165</v>
      </c>
      <c r="F18" s="6" t="n">
        <f aca="false">E18+F15+F16-F17</f>
        <v>2550.81263599896</v>
      </c>
      <c r="G18" s="6" t="n">
        <f aca="false">F18+G15+G16-G17</f>
        <v>3416.25314746707</v>
      </c>
      <c r="H18" s="6" t="n">
        <f aca="false">G18+H15+H16-H17</f>
        <v>4190.3640991741</v>
      </c>
      <c r="I18" s="6" t="n">
        <f aca="false">H18+I15+I16-I17</f>
        <v>4887.97164531955</v>
      </c>
      <c r="J18" s="6" t="n">
        <f aca="false">I18+J15+J16-J17</f>
        <v>5518.31242294196</v>
      </c>
      <c r="K18" s="6" t="n">
        <f aca="false">J18+K15+K16-K17</f>
        <v>6088.1762480017</v>
      </c>
      <c r="L18" s="6" t="n">
        <f aca="false">K18+L15+L16-L17</f>
        <v>6603.15462555906</v>
      </c>
      <c r="M18" s="6" t="n">
        <f aca="false">L18+M15+M16-M17</f>
        <v>7068.1190314501</v>
      </c>
      <c r="N18" s="6" t="n">
        <f aca="false">M18+N15+N16-N17</f>
        <v>7487.43985194615</v>
      </c>
      <c r="O18" s="6" t="n">
        <f aca="false">N18+O15+O16-O17</f>
        <v>7890.01846512482</v>
      </c>
      <c r="P18" s="6" t="n">
        <f aca="false">O18+P15+P16-P17</f>
        <v>8283.99478550749</v>
      </c>
      <c r="Q18" s="6" t="n">
        <f aca="false">P18+Q15+Q16-Q17</f>
        <v>8671.43010894644</v>
      </c>
      <c r="R18" s="6" t="n">
        <f aca="false">Q18+R15+R16-R17</f>
        <v>9053.83691019415</v>
      </c>
      <c r="S18" s="6" t="n">
        <f aca="false">R18+S15+S16-S17</f>
        <v>9432.25858260111</v>
      </c>
      <c r="T18" s="6" t="n">
        <f aca="false">S18+T15+T16-T17</f>
        <v>9807.41070135427</v>
      </c>
      <c r="U18" s="6" t="n">
        <f aca="false">T18+U15+U16-U17</f>
        <v>10179.7762392024</v>
      </c>
      <c r="V18" s="6" t="n">
        <f aca="false">U18+V15+V16-V17</f>
        <v>10549.6729341857</v>
      </c>
      <c r="W18" s="6" t="n">
        <f aca="false">V18+W15+W16-W17</f>
        <v>10917.3015773301</v>
      </c>
      <c r="X18" s="6" t="n">
        <f aca="false">W18+X15+X16-X17</f>
        <v>11282.7809579077</v>
      </c>
      <c r="Y18" s="6" t="n">
        <f aca="false">X18+Y15+Y16-Y17</f>
        <v>11646.1732884813</v>
      </c>
      <c r="Z18" s="6" t="n">
        <f aca="false">Y18+Z15+Z16-Z17</f>
        <v>12007.5027280708</v>
      </c>
      <c r="AA18" s="6" t="n">
        <f aca="false">Z18+AA15+AA16-AA17</f>
        <v>12366.7688401578</v>
      </c>
      <c r="AB18" s="6" t="n">
        <f aca="false">AA18+AB15+AB16-AB17</f>
        <v>12723.9563007488</v>
      </c>
      <c r="AC18" s="6" t="n">
        <f aca="false">AB18+AC15+AC16-AC17</f>
        <v>13079.0418150218</v>
      </c>
      <c r="AD18" s="6" t="n">
        <f aca="false">AC18+AD15+AD16-AD17</f>
        <v>13431.998951462</v>
      </c>
      <c r="AE18" s="6" t="n">
        <f aca="false">AD18+AE15+AE16-AE17</f>
        <v>13782.8014239998</v>
      </c>
      <c r="AF18" s="6" t="n">
        <f aca="false">AE18+AF15+AF16-AF17</f>
        <v>14131.4252227094</v>
      </c>
      <c r="AG18" s="6" t="n">
        <f aca="false">AF18+AG15+AG16-AG17</f>
        <v>14477.8498973242</v>
      </c>
      <c r="AH18" s="6" t="n">
        <f aca="false">AG18+AH15+AH16-AH17</f>
        <v>14822.0592254187</v>
      </c>
      <c r="AI18" s="6" t="n">
        <f aca="false">AH18+AI15+AI16-AI17</f>
        <v>15164.0414419968</v>
      </c>
      <c r="AJ18" s="6" t="n">
        <f aca="false">AI18+AJ15+AJ16-AJ17</f>
        <v>15503.7891648959</v>
      </c>
      <c r="AK18" s="6" t="n">
        <f aca="false">AJ18+AK15+AK16-AK17</f>
        <v>15841.2991176848</v>
      </c>
      <c r="AL18" s="6" t="n">
        <f aca="false">AK18+AL15+AL16-AL17</f>
        <v>16176.5717263283</v>
      </c>
    </row>
    <row r="19" customFormat="false" ht="15" hidden="false" customHeight="true" outlineLevel="0" collapsed="false">
      <c r="A19" s="5" t="s">
        <v>256</v>
      </c>
      <c r="B19" s="6" t="n">
        <f aca="false">B14</f>
        <v>0</v>
      </c>
      <c r="C19" s="6" t="n">
        <f aca="false">C14+C18*Вводные!$B$8/12</f>
        <v>359.668180367918</v>
      </c>
      <c r="D19" s="6" t="n">
        <f aca="false">D14+D18*Вводные!$B$8/12</f>
        <v>1067.19501215404</v>
      </c>
      <c r="E19" s="6" t="n">
        <f aca="false">E14+E18*Вводные!$B$8/12</f>
        <v>2320.40808315534</v>
      </c>
      <c r="F19" s="6" t="n">
        <f aca="false">F14+F18*Вводные!$B$8/12</f>
        <v>3517.53426145228</v>
      </c>
      <c r="G19" s="6" t="n">
        <f aca="false">G14+G18*Вводные!$B$8/12</f>
        <v>4526.99240755918</v>
      </c>
      <c r="H19" s="6" t="n">
        <f aca="false">H14+H18*Вводные!$B$8/12</f>
        <v>5429.93425256252</v>
      </c>
      <c r="I19" s="6" t="n">
        <f aca="false">I14+I18*Вводные!$B$8/12</f>
        <v>6243.64192161491</v>
      </c>
      <c r="J19" s="6" t="n">
        <f aca="false">J14+J18*Вводные!$B$8/12</f>
        <v>6978.88827744531</v>
      </c>
      <c r="K19" s="6" t="n">
        <f aca="false">K14+K18*Вводные!$B$8/12</f>
        <v>7643.59276981243</v>
      </c>
      <c r="L19" s="6" t="n">
        <f aca="false">L14+L18*Вводные!$B$8/12</f>
        <v>8244.27734948087</v>
      </c>
      <c r="M19" s="6" t="n">
        <f aca="false">M14+M18*Вводные!$B$8/12</f>
        <v>8786.62419287412</v>
      </c>
      <c r="N19" s="6" t="n">
        <f aca="false">N14+N18*Вводные!$B$8/12</f>
        <v>9316.92329084315</v>
      </c>
      <c r="O19" s="6" t="n">
        <f aca="false">O14+O18*Вводные!$B$8/12</f>
        <v>9835.96400892776</v>
      </c>
      <c r="P19" s="6" t="n">
        <f aca="false">P14+P18*Вводные!$B$8/12</f>
        <v>10344.3977677357</v>
      </c>
      <c r="Q19" s="6" t="n">
        <f aca="false">Q14+Q18*Вводные!$B$8/12</f>
        <v>10845.0640789995</v>
      </c>
      <c r="R19" s="6" t="n">
        <f aca="false">R14+R18*Вводные!$B$8/12</f>
        <v>11339.9115064313</v>
      </c>
      <c r="S19" s="6" t="n">
        <f aca="false">S14+S18*Вводные!$B$8/12</f>
        <v>11830.2859323265</v>
      </c>
      <c r="T19" s="6" t="n">
        <f aca="false">T14+T18*Вводные!$B$8/12</f>
        <v>12317.1076402335</v>
      </c>
      <c r="U19" s="6" t="n">
        <f aca="false">U14+U18*Вводные!$B$8/12</f>
        <v>12800.994548522</v>
      </c>
      <c r="V19" s="6" t="n">
        <f aca="false">V14+V18*Вводные!$B$8/12</f>
        <v>13282.3492561449</v>
      </c>
      <c r="W19" s="6" t="n">
        <f aca="false">W14+W18*Вводные!$B$8/12</f>
        <v>13761.4214598848</v>
      </c>
      <c r="X19" s="6" t="n">
        <f aca="false">X14+X18*Вводные!$B$8/12</f>
        <v>14238.3531686117</v>
      </c>
      <c r="Y19" s="6" t="n">
        <f aca="false">Y14+Y18*Вводные!$B$8/12</f>
        <v>14713.2116541737</v>
      </c>
      <c r="Z19" s="6" t="n">
        <f aca="false">Z14+Z18*Вводные!$B$8/12</f>
        <v>15186.0135164317</v>
      </c>
      <c r="AA19" s="6" t="n">
        <f aca="false">AA14+AA18*Вводные!$B$8/12</f>
        <v>15656.7422278478</v>
      </c>
      <c r="AB19" s="6" t="n">
        <f aca="false">AB14+AB18*Вводные!$B$8/12</f>
        <v>16125.3608489896</v>
      </c>
      <c r="AC19" s="6" t="n">
        <f aca="false">AC14+AC18*Вводные!$B$8/12</f>
        <v>16591.8211460566</v>
      </c>
      <c r="AD19" s="6" t="n">
        <f aca="false">AD14+AD18*Вводные!$B$8/12</f>
        <v>17056.07002002</v>
      </c>
      <c r="AE19" s="6" t="n">
        <f aca="false">AE14+AE18*Вводные!$B$8/12</f>
        <v>17518.0539275814</v>
      </c>
      <c r="AF19" s="6" t="n">
        <f aca="false">AF14+AF18*Вводные!$B$8/12</f>
        <v>17977.7218073503</v>
      </c>
      <c r="AG19" s="6" t="n">
        <f aca="false">AG14+AG18*Вводные!$B$8/12</f>
        <v>18435.026901241</v>
      </c>
      <c r="AH19" s="6" t="n">
        <f aca="false">AH14+AH18*Вводные!$B$8/12</f>
        <v>18889.9277684457</v>
      </c>
      <c r="AI19" s="6" t="n">
        <f aca="false">AI14+AI18*Вводные!$B$8/12</f>
        <v>19342.3887189232</v>
      </c>
      <c r="AJ19" s="6" t="n">
        <f aca="false">AJ14+AJ18*Вводные!$B$8/12</f>
        <v>19792.3798393109</v>
      </c>
      <c r="AK19" s="6" t="n">
        <f aca="false">AK14+AK18*Вводные!$B$8/12</f>
        <v>20239.8767424119</v>
      </c>
      <c r="AL19" s="6" t="n">
        <f aca="false">AL14+AL18*Вводные!$B$8/12</f>
        <v>20684.8601390107</v>
      </c>
    </row>
    <row r="20" customFormat="false" ht="15" hidden="false" customHeight="true" outlineLevel="0" collapsed="false">
      <c r="A20" s="8" t="s">
        <v>257</v>
      </c>
      <c r="B20" s="11" t="n">
        <v>0</v>
      </c>
      <c r="C20" s="11" t="n">
        <f aca="false">IFERROR(C19/C10,0)</f>
        <v>15.1666666666667</v>
      </c>
      <c r="D20" s="11" t="n">
        <f aca="false">IFERROR(D19/D10,0)</f>
        <v>14.8893005879797</v>
      </c>
      <c r="E20" s="11" t="n">
        <f aca="false">IFERROR(E19/E10,0)</f>
        <v>18.9392668374567</v>
      </c>
      <c r="F20" s="11" t="n">
        <f aca="false">IFERROR(F19/F10,0)</f>
        <v>17.8696090591</v>
      </c>
      <c r="G20" s="11" t="n">
        <f aca="false">IFERROR(G19/G10,0)</f>
        <v>17.1520052570588</v>
      </c>
      <c r="H20" s="11" t="n">
        <f aca="false">IFERROR(H19/H10,0)</f>
        <v>16.5400412221201</v>
      </c>
      <c r="I20" s="11" t="n">
        <f aca="false">IFERROR(I19/I10,0)</f>
        <v>15.9904048298187</v>
      </c>
      <c r="J20" s="11" t="n">
        <f aca="false">IFERROR(J19/J10,0)</f>
        <v>15.4862473053358</v>
      </c>
      <c r="K20" s="11" t="n">
        <f aca="false">IFERROR(K19/K10,0)</f>
        <v>15.0188394344092</v>
      </c>
      <c r="L20" s="11" t="n">
        <f aca="false">IFERROR(L19/L10,0)</f>
        <v>14.5827309514059</v>
      </c>
      <c r="M20" s="11" t="n">
        <f aca="false">IFERROR(M19/M10,0)</f>
        <v>14.1740972491595</v>
      </c>
      <c r="N20" s="11" t="n">
        <f aca="false">IFERROR(N19/N10,0)</f>
        <v>13.8512871308219</v>
      </c>
      <c r="O20" s="11" t="n">
        <f aca="false">IFERROR(O19/O10,0)</f>
        <v>13.5710397648103</v>
      </c>
      <c r="P20" s="11" t="n">
        <f aca="false">IFERROR(P19/P10,0)</f>
        <v>13.3170013825142</v>
      </c>
      <c r="Q20" s="11" t="n">
        <f aca="false">IFERROR(Q19/Q10,0)</f>
        <v>13.0844431370322</v>
      </c>
      <c r="R20" s="11" t="n">
        <f aca="false">IFERROR(R19/R10,0)</f>
        <v>12.8698135439436</v>
      </c>
      <c r="S20" s="11" t="n">
        <f aca="false">IFERROR(S19/S10,0)</f>
        <v>12.6704428406788</v>
      </c>
      <c r="T20" s="11" t="n">
        <f aca="false">IFERROR(T19/T10,0)</f>
        <v>12.4842655174747</v>
      </c>
      <c r="U20" s="11" t="n">
        <f aca="false">IFERROR(U19/U10,0)</f>
        <v>12.3096458344463</v>
      </c>
      <c r="V20" s="11" t="n">
        <f aca="false">IFERROR(V19/V10,0)</f>
        <v>12.1452624081972</v>
      </c>
      <c r="W20" s="11" t="n">
        <f aca="false">IFERROR(W19/W10,0)</f>
        <v>11.9900295743175</v>
      </c>
      <c r="X20" s="11" t="n">
        <f aca="false">IFERROR(X19/X10,0)</f>
        <v>11.8430423125681</v>
      </c>
      <c r="Y20" s="11" t="n">
        <f aca="false">IFERROR(Y19/Y10,0)</f>
        <v>11.7035366955997</v>
      </c>
      <c r="Z20" s="11" t="n">
        <f aca="false">IFERROR(Z19/Z10,0)</f>
        <v>11.5708608294349</v>
      </c>
      <c r="AA20" s="11" t="n">
        <f aca="false">IFERROR(AA19/AA10,0)</f>
        <v>11.4444530559852</v>
      </c>
      <c r="AB20" s="11" t="n">
        <f aca="false">IFERROR(AB19/AB10,0)</f>
        <v>11.3238252960884</v>
      </c>
      <c r="AC20" s="11" t="n">
        <f aca="false">IFERROR(AC19/AC10,0)</f>
        <v>11.2085501090306</v>
      </c>
      <c r="AD20" s="11" t="n">
        <f aca="false">IFERROR(AD19/AD10,0)</f>
        <v>11.0982504927845</v>
      </c>
      <c r="AE20" s="11" t="n">
        <f aca="false">IFERROR(AE19/AE10,0)</f>
        <v>10.9925917429304</v>
      </c>
      <c r="AF20" s="11" t="n">
        <f aca="false">IFERROR(AF19/AF10,0)</f>
        <v>10.8912748842669</v>
      </c>
      <c r="AG20" s="11" t="n">
        <f aca="false">IFERROR(AG19/AG10,0)</f>
        <v>10.7940313222735</v>
      </c>
      <c r="AH20" s="11" t="n">
        <f aca="false">IFERROR(AH19/AH10,0)</f>
        <v>10.7006184536188</v>
      </c>
      <c r="AI20" s="11" t="n">
        <f aca="false">IFERROR(AI19/AI10,0)</f>
        <v>10.6108160396076</v>
      </c>
      <c r="AJ20" s="11" t="n">
        <f aca="false">IFERROR(AJ19/AJ10,0)</f>
        <v>10.5244231927327</v>
      </c>
      <c r="AK20" s="11" t="n">
        <f aca="false">IFERROR(AK19/AK10,0)</f>
        <v>10.4412558601618</v>
      </c>
      <c r="AL20" s="11" t="n">
        <f aca="false">IFERROR(AL19/AL10,0)</f>
        <v>10.3611447128891</v>
      </c>
    </row>
    <row r="21" customFormat="false" ht="15" hidden="false" customHeight="true" outlineLevel="0" collapsed="false">
      <c r="A21" s="8" t="s">
        <v>258</v>
      </c>
      <c r="B21" s="9" t="n">
        <f aca="false">B19*Вводные!$B$7</f>
        <v>0</v>
      </c>
      <c r="C21" s="9" t="n">
        <f aca="false">C19*Вводные!$B$7</f>
        <v>1147341.49537366</v>
      </c>
      <c r="D21" s="9" t="n">
        <f aca="false">D19*Вводные!$B$7</f>
        <v>3404352.08877138</v>
      </c>
      <c r="E21" s="9" t="n">
        <f aca="false">E19*Вводные!$B$7</f>
        <v>7402101.78526552</v>
      </c>
      <c r="F21" s="9" t="n">
        <f aca="false">F19*Вводные!$B$7</f>
        <v>11220934.2940328</v>
      </c>
      <c r="G21" s="9" t="n">
        <f aca="false">G19*Вводные!$B$7</f>
        <v>14441105.7801138</v>
      </c>
      <c r="H21" s="9" t="n">
        <f aca="false">H19*Вводные!$B$7</f>
        <v>17321490.2656744</v>
      </c>
      <c r="I21" s="9" t="n">
        <f aca="false">I19*Вводные!$B$7</f>
        <v>19917217.7299516</v>
      </c>
      <c r="J21" s="9" t="n">
        <f aca="false">J19*Вводные!$B$7</f>
        <v>22262653.6050505</v>
      </c>
      <c r="K21" s="9" t="n">
        <f aca="false">K19*Вводные!$B$7</f>
        <v>24383060.9357017</v>
      </c>
      <c r="L21" s="9" t="n">
        <f aca="false">L19*Вводные!$B$7</f>
        <v>26299244.744844</v>
      </c>
      <c r="M21" s="9" t="n">
        <f aca="false">M19*Вводные!$B$7</f>
        <v>28029331.1752684</v>
      </c>
      <c r="N21" s="9" t="n">
        <f aca="false">N19*Вводные!$B$7</f>
        <v>29720985.2977897</v>
      </c>
      <c r="O21" s="9" t="n">
        <f aca="false">O19*Вводные!$B$7</f>
        <v>31376725.1884796</v>
      </c>
      <c r="P21" s="9" t="n">
        <f aca="false">P19*Вводные!$B$7</f>
        <v>32998628.8790767</v>
      </c>
      <c r="Q21" s="9" t="n">
        <f aca="false">Q19*Вводные!$B$7</f>
        <v>34595754.4120085</v>
      </c>
      <c r="R21" s="9" t="n">
        <f aca="false">R19*Вводные!$B$7</f>
        <v>36174317.7055159</v>
      </c>
      <c r="S21" s="9" t="n">
        <f aca="false">S19*Вводные!$B$7</f>
        <v>37738612.1241216</v>
      </c>
      <c r="T21" s="9" t="n">
        <f aca="false">T19*Вводные!$B$7</f>
        <v>39291573.3723449</v>
      </c>
      <c r="U21" s="9" t="n">
        <f aca="false">U19*Вводные!$B$7</f>
        <v>40835172.609785</v>
      </c>
      <c r="V21" s="9" t="n">
        <f aca="false">V19*Вводные!$B$7</f>
        <v>42370694.1271022</v>
      </c>
      <c r="W21" s="9" t="n">
        <f aca="false">W19*Вводные!$B$7</f>
        <v>43898934.4570326</v>
      </c>
      <c r="X21" s="9" t="n">
        <f aca="false">X19*Вводные!$B$7</f>
        <v>45420346.6078712</v>
      </c>
      <c r="Y21" s="9" t="n">
        <f aca="false">Y19*Вводные!$B$7</f>
        <v>46935145.1768142</v>
      </c>
      <c r="Z21" s="9" t="n">
        <f aca="false">Z19*Вводные!$B$7</f>
        <v>48443383.1174171</v>
      </c>
      <c r="AA21" s="9" t="n">
        <f aca="false">AA19*Вводные!$B$7</f>
        <v>49945007.7068346</v>
      </c>
      <c r="AB21" s="9" t="n">
        <f aca="false">AB19*Вводные!$B$7</f>
        <v>51439901.1082767</v>
      </c>
      <c r="AC21" s="9" t="n">
        <f aca="false">AC19*Вводные!$B$7</f>
        <v>52927909.4559204</v>
      </c>
      <c r="AD21" s="9" t="n">
        <f aca="false">AD19*Вводные!$B$7</f>
        <v>54408863.3638638</v>
      </c>
      <c r="AE21" s="9" t="n">
        <f aca="false">AE19*Вводные!$B$7</f>
        <v>55882592.0289848</v>
      </c>
      <c r="AF21" s="9" t="n">
        <f aca="false">AF19*Вводные!$B$7</f>
        <v>57348932.5654475</v>
      </c>
      <c r="AG21" s="9" t="n">
        <f aca="false">AG19*Вводные!$B$7</f>
        <v>58807735.8149589</v>
      </c>
      <c r="AH21" s="9" t="n">
        <f aca="false">AH19*Вводные!$B$7</f>
        <v>60258869.5813417</v>
      </c>
      <c r="AI21" s="9" t="n">
        <f aca="false">AI19*Вводные!$B$7</f>
        <v>61702220.013365</v>
      </c>
      <c r="AJ21" s="9" t="n">
        <f aca="false">AJ19*Вводные!$B$7</f>
        <v>63137691.6874017</v>
      </c>
      <c r="AK21" s="9" t="n">
        <f aca="false">AK19*Вводные!$B$7</f>
        <v>64565206.808294</v>
      </c>
      <c r="AL21" s="9" t="n">
        <f aca="false">AL19*Вводные!$B$7</f>
        <v>65984703.843444</v>
      </c>
    </row>
    <row r="23" customFormat="false" ht="15" hidden="false" customHeight="true" outlineLevel="0" collapsed="false">
      <c r="A23" s="3" t="s">
        <v>259</v>
      </c>
    </row>
    <row r="24" customFormat="false" ht="15" hidden="false" customHeight="true" outlineLevel="0" collapsed="false">
      <c r="A24" s="8" t="s">
        <v>21</v>
      </c>
      <c r="B24" s="9" t="n">
        <v>0</v>
      </c>
      <c r="C24" s="9" t="n">
        <f aca="false">C10*Вводные!$B$21</f>
        <v>23477.2416635762</v>
      </c>
      <c r="D24" s="9" t="n">
        <f aca="false">D10*Вводные!$B$21</f>
        <v>70958.5420610985</v>
      </c>
      <c r="E24" s="9" t="n">
        <f aca="false">E10*Вводные!$B$21</f>
        <v>121293.185319114</v>
      </c>
      <c r="F24" s="9" t="n">
        <f aca="false">F10*Вводные!$B$21</f>
        <v>194876.055056413</v>
      </c>
      <c r="G24" s="9" t="n">
        <f aca="false">G10*Вводные!$B$21</f>
        <v>261294.374407865</v>
      </c>
      <c r="H24" s="9" t="n">
        <f aca="false">H10*Вводные!$B$21</f>
        <v>325007.346586761</v>
      </c>
      <c r="I24" s="9" t="n">
        <f aca="false">I10*Вводные!$B$21</f>
        <v>386557.161509266</v>
      </c>
      <c r="J24" s="9" t="n">
        <f aca="false">J10*Вводные!$B$21</f>
        <v>446144.198684617</v>
      </c>
      <c r="K24" s="9" t="n">
        <f aca="false">K10*Вводные!$B$21</f>
        <v>503844.313348036</v>
      </c>
      <c r="L24" s="9" t="n">
        <f aca="false">L10*Вводные!$B$21</f>
        <v>559691.775373472</v>
      </c>
      <c r="M24" s="9" t="n">
        <f aca="false">M10*Вводные!$B$21</f>
        <v>613708.075938396</v>
      </c>
      <c r="N24" s="9" t="n">
        <f aca="false">N10*Вводные!$B$21</f>
        <v>665913.136506281</v>
      </c>
      <c r="O24" s="9" t="n">
        <f aca="false">O10*Вводные!$B$21</f>
        <v>717528.246736707</v>
      </c>
      <c r="P24" s="9" t="n">
        <f aca="false">P10*Вводные!$B$21</f>
        <v>769013.496049129</v>
      </c>
      <c r="Q24" s="9" t="n">
        <f aca="false">Q10*Вводные!$B$21</f>
        <v>820563.269354755</v>
      </c>
      <c r="R24" s="9" t="n">
        <f aca="false">R10*Вводные!$B$21</f>
        <v>872313.522883169</v>
      </c>
      <c r="S24" s="9" t="n">
        <f aca="false">S10*Вводные!$B$21</f>
        <v>924354.674913308</v>
      </c>
      <c r="T24" s="9" t="n">
        <f aca="false">T10*Вводные!$B$21</f>
        <v>976744.410535232</v>
      </c>
      <c r="U24" s="9" t="n">
        <f aca="false">U10*Вводные!$B$21</f>
        <v>1029516.58995531</v>
      </c>
      <c r="V24" s="9" t="n">
        <f aca="false">V10*Вводные!$B$21</f>
        <v>1082687.66220386</v>
      </c>
      <c r="W24" s="9" t="n">
        <f aca="false">W10*Вводные!$B$21</f>
        <v>1136261.35455646</v>
      </c>
      <c r="X24" s="9" t="n">
        <f aca="false">X10*Вводные!$B$21</f>
        <v>1190232.14347267</v>
      </c>
      <c r="Y24" s="9" t="n">
        <f aca="false">Y10*Вводные!$B$21</f>
        <v>1244587.84694618</v>
      </c>
      <c r="Z24" s="9" t="n">
        <f aca="false">Z10*Вводные!$B$21</f>
        <v>1299311.57265519</v>
      </c>
      <c r="AA24" s="9" t="n">
        <f aca="false">AA10*Вводные!$B$21</f>
        <v>1354383.18718631</v>
      </c>
      <c r="AB24" s="9" t="n">
        <f aca="false">AB10*Вводные!$B$21</f>
        <v>1409780.42517259</v>
      </c>
      <c r="AC24" s="9" t="n">
        <f aca="false">AC10*Вводные!$B$21</f>
        <v>1465479.72528238</v>
      </c>
      <c r="AD24" s="9" t="n">
        <f aca="false">AD10*Вводные!$B$21</f>
        <v>1521456.85761894</v>
      </c>
      <c r="AE24" s="9" t="n">
        <f aca="false">AE10*Вводные!$B$21</f>
        <v>1577687.39109766</v>
      </c>
      <c r="AF24" s="9" t="n">
        <f aca="false">AF10*Вводные!$B$21</f>
        <v>1634147.03773449</v>
      </c>
      <c r="AG24" s="9" t="n">
        <f aca="false">AG10*Вводные!$B$21</f>
        <v>1690811.9021823</v>
      </c>
      <c r="AH24" s="9" t="n">
        <f aca="false">AH10*Вводные!$B$21</f>
        <v>1747658.65840556</v>
      </c>
      <c r="AI24" s="9" t="n">
        <f aca="false">AI10*Вводные!$B$21</f>
        <v>1804664.67048863</v>
      </c>
      <c r="AJ24" s="9" t="n">
        <f aca="false">AJ10*Вводные!$B$21</f>
        <v>1861808.07081647</v>
      </c>
      <c r="AK24" s="9" t="n">
        <f aca="false">AK10*Вводные!$B$21</f>
        <v>1919067.80595617</v>
      </c>
      <c r="AL24" s="9" t="n">
        <f aca="false">AL10*Вводные!$B$21</f>
        <v>1976423.65829966</v>
      </c>
    </row>
    <row r="25" customFormat="false" ht="15" hidden="false" customHeight="true" outlineLevel="0" collapsed="false">
      <c r="A25" s="8" t="s">
        <v>260</v>
      </c>
      <c r="B25" s="9" t="n">
        <v>0</v>
      </c>
      <c r="C25" s="9" t="n">
        <f aca="false">IF(C$2&gt;=Вводные!$B$24,C10*C57*Вводные!$B$22,0)</f>
        <v>0</v>
      </c>
      <c r="D25" s="9" t="n">
        <f aca="false">IF(D$2&gt;=Вводные!$B$24,D10*D57*Вводные!$B$22,0)</f>
        <v>0</v>
      </c>
      <c r="E25" s="9" t="n">
        <f aca="false">IF(E$2&gt;=Вводные!$B$24,E10*E57*Вводные!$B$22,0)</f>
        <v>0</v>
      </c>
      <c r="F25" s="9" t="n">
        <f aca="false">IF(F$2&gt;=Вводные!$B$24,F10*F57*Вводные!$B$22,0)</f>
        <v>23862.4705231248</v>
      </c>
      <c r="G25" s="9" t="n">
        <f aca="false">IF(G$2&gt;=Вводные!$B$24,G10*G57*Вводные!$B$22,0)</f>
        <v>40322.8874065121</v>
      </c>
      <c r="H25" s="9" t="n">
        <f aca="false">IF(H$2&gt;=Вводные!$B$24,H10*H57*Вводные!$B$22,0)</f>
        <v>58866.8421144273</v>
      </c>
      <c r="I25" s="9" t="n">
        <f aca="false">IF(I$2&gt;=Вводные!$B$24,I10*I57*Вводные!$B$22,0)</f>
        <v>78834.776522258</v>
      </c>
      <c r="J25" s="9" t="n">
        <f aca="false">IF(J$2&gt;=Вводные!$B$24,J10*J57*Вводные!$B$22,0)</f>
        <v>99706.3643983602</v>
      </c>
      <c r="K25" s="9" t="n">
        <f aca="false">IF(K$2&gt;=Вводные!$B$24,K10*K57*Вводные!$B$22,0)</f>
        <v>121071.04602882</v>
      </c>
      <c r="L25" s="9" t="n">
        <f aca="false">IF(L$2&gt;=Вводные!$B$24,L10*L57*Вводные!$B$22,0)</f>
        <v>142610.123397075</v>
      </c>
      <c r="M25" s="9" t="n">
        <f aca="false">IF(M$2&gt;=Вводные!$B$24,M10*M57*Вводные!$B$22,0)</f>
        <v>164079.725800001</v>
      </c>
      <c r="N25" s="9" t="n">
        <f aca="false">IF(N$2&gt;=Вводные!$B$24,N10*N57*Вводные!$B$22,0)</f>
        <v>185296.073539422</v>
      </c>
      <c r="O25" s="9" t="n">
        <f aca="false">IF(O$2&gt;=Вводные!$B$24,O10*O57*Вводные!$B$22,0)</f>
        <v>206621.61914103</v>
      </c>
      <c r="P25" s="9" t="n">
        <f aca="false">IF(P$2&gt;=Вводные!$B$24,P10*P57*Вводные!$B$22,0)</f>
        <v>228155.27215837</v>
      </c>
      <c r="Q25" s="9" t="n">
        <f aca="false">IF(Q$2&gt;=Вводные!$B$24,Q10*Q57*Вводные!$B$22,0)</f>
        <v>249907.429440027</v>
      </c>
      <c r="R25" s="9" t="n">
        <f aca="false">IF(R$2&gt;=Вводные!$B$24,R10*R57*Вводные!$B$22,0)</f>
        <v>271877.47303122</v>
      </c>
      <c r="S25" s="9" t="n">
        <f aca="false">IF(S$2&gt;=Вводные!$B$24,S10*S57*Вводные!$B$22,0)</f>
        <v>294055.43365858</v>
      </c>
      <c r="T25" s="9" t="n">
        <f aca="false">IF(T$2&gt;=Вводные!$B$24,T10*T57*Вводные!$B$22,0)</f>
        <v>316425.109908288</v>
      </c>
      <c r="U25" s="9" t="n">
        <f aca="false">IF(U$2&gt;=Вводные!$B$24,U10*U57*Вводные!$B$22,0)</f>
        <v>338966.417199696</v>
      </c>
      <c r="V25" s="9" t="n">
        <f aca="false">IF(V$2&gt;=Вводные!$B$24,V10*V57*Вводные!$B$22,0)</f>
        <v>361657.177342076</v>
      </c>
      <c r="W25" s="9" t="n">
        <f aca="false">IF(W$2&gt;=Вводные!$B$24,W10*W57*Вводные!$B$22,0)</f>
        <v>384474.457262203</v>
      </c>
      <c r="X25" s="9" t="n">
        <f aca="false">IF(X$2&gt;=Вводные!$B$24,X10*X57*Вводные!$B$22,0)</f>
        <v>407395.546252502</v>
      </c>
      <c r="Y25" s="9" t="n">
        <f aca="false">IF(Y$2&gt;=Вводные!$B$24,Y10*Y57*Вводные!$B$22,0)</f>
        <v>430398.644806495</v>
      </c>
      <c r="Z25" s="9" t="n">
        <f aca="false">IF(Z$2&gt;=Вводные!$B$24,Z10*Z57*Вводные!$B$22,0)</f>
        <v>453463.325329917</v>
      </c>
      <c r="AA25" s="9" t="n">
        <f aca="false">IF(AA$2&gt;=Вводные!$B$24,AA10*AA57*Вводные!$B$22,0)</f>
        <v>476570.814640206</v>
      </c>
      <c r="AB25" s="9" t="n">
        <f aca="false">IF(AB$2&gt;=Вводные!$B$24,AB10*AB57*Вводные!$B$22,0)</f>
        <v>499704.139533776</v>
      </c>
      <c r="AC25" s="9" t="n">
        <f aca="false">IF(AC$2&gt;=Вводные!$B$24,AC10*AC57*Вводные!$B$22,0)</f>
        <v>522848.169394293</v>
      </c>
      <c r="AD25" s="9" t="n">
        <f aca="false">IF(AD$2&gt;=Вводные!$B$24,AD10*AD57*Вводные!$B$22,0)</f>
        <v>545989.583574715</v>
      </c>
      <c r="AE25" s="9" t="n">
        <f aca="false">IF(AE$2&gt;=Вводные!$B$24,AE10*AE57*Вводные!$B$22,0)</f>
        <v>569116.785942924</v>
      </c>
      <c r="AF25" s="9" t="n">
        <f aca="false">IF(AF$2&gt;=Вводные!$B$24,AF10*AF57*Вводные!$B$22,0)</f>
        <v>592219.784419989</v>
      </c>
      <c r="AG25" s="9" t="n">
        <f aca="false">IF(AG$2&gt;=Вводные!$B$24,AG10*AG57*Вводные!$B$22,0)</f>
        <v>615290.049473911</v>
      </c>
      <c r="AH25" s="9" t="n">
        <f aca="false">IF(AH$2&gt;=Вводные!$B$24,AH10*AH57*Вводные!$B$22,0)</f>
        <v>638320.362286789</v>
      </c>
      <c r="AI25" s="9" t="n">
        <f aca="false">IF(AI$2&gt;=Вводные!$B$24,AI10*AI57*Вводные!$B$22,0)</f>
        <v>661304.660622174</v>
      </c>
      <c r="AJ25" s="9" t="n">
        <f aca="false">IF(AJ$2&gt;=Вводные!$B$24,AJ10*AJ57*Вводные!$B$22,0)</f>
        <v>684237.888217845</v>
      </c>
      <c r="AK25" s="9" t="n">
        <f aca="false">IF(AK$2&gt;=Вводные!$B$24,AK10*AK57*Вводные!$B$22,0)</f>
        <v>707115.851755278</v>
      </c>
      <c r="AL25" s="9" t="n">
        <f aca="false">IF(AL$2&gt;=Вводные!$B$24,AL10*AL57*Вводные!$B$22,0)</f>
        <v>729935.088051477</v>
      </c>
    </row>
    <row r="26" customFormat="false" ht="15" hidden="false" customHeight="true" outlineLevel="0" collapsed="false">
      <c r="A26" s="5" t="s">
        <v>25</v>
      </c>
      <c r="B26" s="6" t="n">
        <f aca="false">SUM(B24:B25)-B27</f>
        <v>0</v>
      </c>
      <c r="C26" s="6" t="n">
        <f aca="false">SUM(C24:C25)-C27</f>
        <v>23477.2416635762</v>
      </c>
      <c r="D26" s="6" t="n">
        <f aca="false">SUM(D24:D25)-D27</f>
        <v>70958.5420610985</v>
      </c>
      <c r="E26" s="6" t="n">
        <f aca="false">SUM(E24:E25)-E27</f>
        <v>121293.185319114</v>
      </c>
      <c r="F26" s="6" t="n">
        <f aca="false">SUM(F24:F25)-F27</f>
        <v>218738.525579538</v>
      </c>
      <c r="G26" s="6" t="n">
        <f aca="false">SUM(G24:G25)-G27</f>
        <v>301617.261814377</v>
      </c>
      <c r="H26" s="6" t="n">
        <f aca="false">SUM(H24:H25)-H27</f>
        <v>383874.188701188</v>
      </c>
      <c r="I26" s="6" t="n">
        <f aca="false">SUM(I24:I25)-I27</f>
        <v>465391.938031524</v>
      </c>
      <c r="J26" s="6" t="n">
        <f aca="false">SUM(J24:J25)-J27</f>
        <v>545850.563082977</v>
      </c>
      <c r="K26" s="6" t="n">
        <f aca="false">SUM(K24:K25)-K27</f>
        <v>624915.359376856</v>
      </c>
      <c r="L26" s="6" t="n">
        <f aca="false">SUM(L24:L25)-L27</f>
        <v>702301.898770547</v>
      </c>
      <c r="M26" s="6" t="n">
        <f aca="false">SUM(M24:M25)-M27</f>
        <v>777787.801738396</v>
      </c>
      <c r="N26" s="6" t="n">
        <f aca="false">SUM(N24:N25)-N27</f>
        <v>851209.210045703</v>
      </c>
      <c r="O26" s="6" t="n">
        <f aca="false">SUM(O24:O25)-O27</f>
        <v>924149.865877738</v>
      </c>
      <c r="P26" s="6" t="n">
        <f aca="false">SUM(P24:P25)-P27</f>
        <v>997168.768207499</v>
      </c>
      <c r="Q26" s="6" t="n">
        <f aca="false">SUM(Q24:Q25)-Q27</f>
        <v>1070470.69879478</v>
      </c>
      <c r="R26" s="6" t="n">
        <f aca="false">SUM(R24:R25)-R27</f>
        <v>1144190.99591439</v>
      </c>
      <c r="S26" s="6" t="n">
        <f aca="false">SUM(S24:S25)-S27</f>
        <v>1218410.10857189</v>
      </c>
      <c r="T26" s="6" t="n">
        <f aca="false">SUM(T24:T25)-T27</f>
        <v>1293169.52044352</v>
      </c>
      <c r="U26" s="6" t="n">
        <f aca="false">SUM(U24:U25)-U27</f>
        <v>1368483.007155</v>
      </c>
      <c r="V26" s="6" t="n">
        <f aca="false">SUM(V24:V25)-V27</f>
        <v>1444344.83954593</v>
      </c>
      <c r="W26" s="6" t="n">
        <f aca="false">SUM(W24:W25)-W27</f>
        <v>1520735.81181866</v>
      </c>
      <c r="X26" s="6" t="n">
        <f aca="false">SUM(X24:X25)-X27</f>
        <v>1597627.68972518</v>
      </c>
      <c r="Y26" s="6" t="n">
        <f aca="false">SUM(Y24:Y25)-Y27</f>
        <v>1674986.49175268</v>
      </c>
      <c r="Z26" s="6" t="n">
        <f aca="false">SUM(Z24:Z25)-Z27</f>
        <v>1752774.89798511</v>
      </c>
      <c r="AA26" s="6" t="n">
        <f aca="false">SUM(AA24:AA25)-AA27</f>
        <v>1743765.71602525</v>
      </c>
      <c r="AB26" s="6" t="n">
        <f aca="false">SUM(AB24:AB25)-AB27</f>
        <v>1818556.72829178</v>
      </c>
      <c r="AC26" s="6" t="n">
        <f aca="false">SUM(AC24:AC25)-AC27</f>
        <v>1893645.61397778</v>
      </c>
      <c r="AD26" s="6" t="n">
        <f aca="false">SUM(AD24:AD25)-AD27</f>
        <v>1968996.61066063</v>
      </c>
      <c r="AE26" s="6" t="n">
        <f aca="false">SUM(AE24:AE25)-AE27</f>
        <v>2044575.40670532</v>
      </c>
      <c r="AF26" s="6" t="n">
        <f aca="false">SUM(AF24:AF25)-AF27</f>
        <v>2120349.35443283</v>
      </c>
      <c r="AG26" s="6" t="n">
        <f aca="false">SUM(AG24:AG25)-AG27</f>
        <v>2196287.57300592</v>
      </c>
      <c r="AH26" s="6" t="n">
        <f aca="false">SUM(AH24:AH25)-AH27</f>
        <v>2272360.97208795</v>
      </c>
      <c r="AI26" s="6" t="n">
        <f aca="false">SUM(AI24:AI25)-AI27</f>
        <v>2348542.22010553</v>
      </c>
      <c r="AJ26" s="6" t="n">
        <f aca="false">SUM(AJ24:AJ25)-AJ27</f>
        <v>2424805.67527077</v>
      </c>
      <c r="AK26" s="6" t="n">
        <f aca="false">SUM(AK24:AK25)-AK27</f>
        <v>2501127.29305853</v>
      </c>
      <c r="AL26" s="6" t="n">
        <f aca="false">SUM(AL24:AL25)-AL27</f>
        <v>2577484.52033442</v>
      </c>
    </row>
    <row r="27" customFormat="false" ht="14.25" hidden="false" customHeight="false" outlineLevel="0" collapsed="false">
      <c r="A27" s="8" t="s">
        <v>261</v>
      </c>
      <c r="B27" s="9" t="n">
        <f aca="false">(B24+B25)*B62*Вводные!$B$77/(1+Вводные!$B$77)</f>
        <v>0</v>
      </c>
      <c r="C27" s="9" t="n">
        <f aca="false">(C24+C25)*C62*Вводные!$B$77/(1+Вводные!$B$77)</f>
        <v>0</v>
      </c>
      <c r="D27" s="9" t="n">
        <f aca="false">(D24+D25)*D62*Вводные!$B$77/(1+Вводные!$B$77)</f>
        <v>0</v>
      </c>
      <c r="E27" s="9" t="n">
        <f aca="false">(E24+E25)*E62*Вводные!$B$77/(1+Вводные!$B$77)</f>
        <v>0</v>
      </c>
      <c r="F27" s="9" t="n">
        <f aca="false">(F24+F25)*F62*Вводные!$B$77/(1+Вводные!$B$77)</f>
        <v>0</v>
      </c>
      <c r="G27" s="9" t="n">
        <f aca="false">(G24+G25)*G62*Вводные!$B$77/(1+Вводные!$B$77)</f>
        <v>0</v>
      </c>
      <c r="H27" s="9" t="n">
        <f aca="false">(H24+H25)*H62*Вводные!$B$77/(1+Вводные!$B$77)</f>
        <v>0</v>
      </c>
      <c r="I27" s="9" t="n">
        <f aca="false">(I24+I25)*I62*Вводные!$B$77/(1+Вводные!$B$77)</f>
        <v>0</v>
      </c>
      <c r="J27" s="9" t="n">
        <f aca="false">(J24+J25)*J62*Вводные!$B$77/(1+Вводные!$B$77)</f>
        <v>0</v>
      </c>
      <c r="K27" s="9" t="n">
        <f aca="false">(K24+K25)*K62*Вводные!$B$77/(1+Вводные!$B$77)</f>
        <v>0</v>
      </c>
      <c r="L27" s="9" t="n">
        <f aca="false">(L24+L25)*L62*Вводные!$B$77/(1+Вводные!$B$77)</f>
        <v>0</v>
      </c>
      <c r="M27" s="9" t="n">
        <f aca="false">(M24+M25)*M62*Вводные!$B$77/(1+Вводные!$B$77)</f>
        <v>0</v>
      </c>
      <c r="N27" s="9" t="n">
        <f aca="false">(N24+N25)*N62*Вводные!$B$77/(1+Вводные!$B$77)</f>
        <v>0</v>
      </c>
      <c r="O27" s="9" t="n">
        <f aca="false">(O24+O25)*O62*Вводные!$B$77/(1+Вводные!$B$77)</f>
        <v>0</v>
      </c>
      <c r="P27" s="9" t="n">
        <f aca="false">(P24+P25)*P62*Вводные!$B$77/(1+Вводные!$B$77)</f>
        <v>0</v>
      </c>
      <c r="Q27" s="9" t="n">
        <f aca="false">(Q24+Q25)*Q62*Вводные!$B$77/(1+Вводные!$B$77)</f>
        <v>0</v>
      </c>
      <c r="R27" s="9" t="n">
        <f aca="false">(R24+R25)*R62*Вводные!$B$77/(1+Вводные!$B$77)</f>
        <v>0</v>
      </c>
      <c r="S27" s="9" t="n">
        <f aca="false">(S24+S25)*S62*Вводные!$B$77/(1+Вводные!$B$77)</f>
        <v>0</v>
      </c>
      <c r="T27" s="9" t="n">
        <f aca="false">(T24+T25)*T62*Вводные!$B$77/(1+Вводные!$B$77)</f>
        <v>0</v>
      </c>
      <c r="U27" s="9" t="n">
        <f aca="false">(U24+U25)*U62*Вводные!$B$77/(1+Вводные!$B$77)</f>
        <v>0</v>
      </c>
      <c r="V27" s="9" t="n">
        <f aca="false">(V24+V25)*V62*Вводные!$B$77/(1+Вводные!$B$77)</f>
        <v>0</v>
      </c>
      <c r="W27" s="9" t="n">
        <f aca="false">(W24+W25)*W62*Вводные!$B$77/(1+Вводные!$B$77)</f>
        <v>0</v>
      </c>
      <c r="X27" s="9" t="n">
        <f aca="false">(X24+X25)*X62*Вводные!$B$77/(1+Вводные!$B$77)</f>
        <v>0</v>
      </c>
      <c r="Y27" s="9" t="n">
        <f aca="false">(Y24+Y25)*Y62*Вводные!$B$77/(1+Вводные!$B$77)</f>
        <v>0</v>
      </c>
      <c r="Z27" s="9" t="n">
        <f aca="false">(Z24+Z25)*Z62*Вводные!$B$77/(1+Вводные!$B$77)</f>
        <v>0</v>
      </c>
      <c r="AA27" s="9" t="n">
        <f aca="false">(AA24+AA25)*AA62*Вводные!$B$77/(1+Вводные!$B$77)</f>
        <v>87188.2858012625</v>
      </c>
      <c r="AB27" s="9" t="n">
        <f aca="false">(AB24+AB25)*AB62*Вводные!$B$77/(1+Вводные!$B$77)</f>
        <v>90927.8364145889</v>
      </c>
      <c r="AC27" s="9" t="n">
        <f aca="false">(AC24+AC25)*AC62*Вводные!$B$77/(1+Вводные!$B$77)</f>
        <v>94682.280698889</v>
      </c>
      <c r="AD27" s="9" t="n">
        <f aca="false">(AD24+AD25)*AD62*Вводные!$B$77/(1+Вводные!$B$77)</f>
        <v>98449.8305330313</v>
      </c>
      <c r="AE27" s="9" t="n">
        <f aca="false">(AE24+AE25)*AE62*Вводные!$B$77/(1+Вводные!$B$77)</f>
        <v>102228.770335266</v>
      </c>
      <c r="AF27" s="9" t="n">
        <f aca="false">(AF24+AF25)*AF62*Вводные!$B$77/(1+Вводные!$B$77)</f>
        <v>106017.467721642</v>
      </c>
      <c r="AG27" s="9" t="n">
        <f aca="false">(AG24+AG25)*AG62*Вводные!$B$77/(1+Вводные!$B$77)</f>
        <v>109814.378650296</v>
      </c>
      <c r="AH27" s="9" t="n">
        <f aca="false">(AH24+AH25)*AH62*Вводные!$B$77/(1+Вводные!$B$77)</f>
        <v>113618.048604398</v>
      </c>
      <c r="AI27" s="9" t="n">
        <f aca="false">(AI24+AI25)*AI62*Вводные!$B$77/(1+Вводные!$B$77)</f>
        <v>117427.111005277</v>
      </c>
      <c r="AJ27" s="9" t="n">
        <f aca="false">(AJ24+AJ25)*AJ62*Вводные!$B$77/(1+Вводные!$B$77)</f>
        <v>121240.283763539</v>
      </c>
      <c r="AK27" s="9" t="n">
        <f aca="false">(AK24+AK25)*AK62*Вводные!$B$77/(1+Вводные!$B$77)</f>
        <v>125056.364652926</v>
      </c>
      <c r="AL27" s="9" t="n">
        <f aca="false">(AL24+AL25)*AL62*Вводные!$B$77/(1+Вводные!$B$77)</f>
        <v>128874.226016721</v>
      </c>
    </row>
    <row r="28" customFormat="false" ht="15" hidden="false" customHeight="true" outlineLevel="0" collapsed="false">
      <c r="A28" s="3" t="s">
        <v>27</v>
      </c>
    </row>
    <row r="29" customFormat="false" ht="15" hidden="false" customHeight="true" outlineLevel="0" collapsed="false">
      <c r="A29" s="8" t="s">
        <v>28</v>
      </c>
      <c r="B29" s="9" t="n">
        <f aca="false">IF(B$2&gt;=Вводные!$B$30,OPEX!$D$7,0)</f>
        <v>0</v>
      </c>
      <c r="C29" s="9" t="n">
        <f aca="false">IF(C$2&gt;=Вводные!$B$30,OPEX!$D$7,0)</f>
        <v>375122.333333333</v>
      </c>
      <c r="D29" s="9" t="n">
        <f aca="false">IF(D$2&gt;=Вводные!$B$30,OPEX!$D$7,0)</f>
        <v>375122.333333333</v>
      </c>
      <c r="E29" s="9" t="n">
        <f aca="false">IF(E$2&gt;=Вводные!$B$30,OPEX!$D$7,0)</f>
        <v>375122.333333333</v>
      </c>
      <c r="F29" s="9" t="n">
        <f aca="false">IF(F$2&gt;=Вводные!$B$30,OPEX!$D$7,0)</f>
        <v>375122.333333333</v>
      </c>
      <c r="G29" s="9" t="n">
        <f aca="false">IF(G$2&gt;=Вводные!$B$30,OPEX!$D$7,0)</f>
        <v>375122.333333333</v>
      </c>
      <c r="H29" s="9" t="n">
        <f aca="false">IF(H$2&gt;=Вводные!$B$30,OPEX!$D$7,0)</f>
        <v>375122.333333333</v>
      </c>
      <c r="I29" s="9" t="n">
        <f aca="false">IF(I$2&gt;=Вводные!$B$30,OPEX!$D$7,0)</f>
        <v>375122.333333333</v>
      </c>
      <c r="J29" s="9" t="n">
        <f aca="false">IF(J$2&gt;=Вводные!$B$30,OPEX!$D$7,0)</f>
        <v>375122.333333333</v>
      </c>
      <c r="K29" s="9" t="n">
        <f aca="false">IF(K$2&gt;=Вводные!$B$30,OPEX!$D$7,0)</f>
        <v>375122.333333333</v>
      </c>
      <c r="L29" s="9" t="n">
        <f aca="false">IF(L$2&gt;=Вводные!$B$30,OPEX!$D$7,0)</f>
        <v>375122.333333333</v>
      </c>
      <c r="M29" s="9" t="n">
        <f aca="false">IF(M$2&gt;=Вводные!$B$30,OPEX!$D$7,0)</f>
        <v>375122.333333333</v>
      </c>
      <c r="N29" s="9" t="n">
        <f aca="false">IF(N$2&gt;=Вводные!$B$30,OPEX!$D$7,0)</f>
        <v>375122.333333333</v>
      </c>
      <c r="O29" s="9" t="n">
        <f aca="false">IF(O$2&gt;=Вводные!$B$30,OPEX!$D$7,0)</f>
        <v>375122.333333333</v>
      </c>
      <c r="P29" s="9" t="n">
        <f aca="false">IF(P$2&gt;=Вводные!$B$30,OPEX!$D$7,0)</f>
        <v>375122.333333333</v>
      </c>
      <c r="Q29" s="9" t="n">
        <f aca="false">IF(Q$2&gt;=Вводные!$B$30,OPEX!$D$7,0)</f>
        <v>375122.333333333</v>
      </c>
      <c r="R29" s="9" t="n">
        <f aca="false">IF(R$2&gt;=Вводные!$B$30,OPEX!$D$7,0)</f>
        <v>375122.333333333</v>
      </c>
      <c r="S29" s="9" t="n">
        <f aca="false">IF(S$2&gt;=Вводные!$B$30,OPEX!$D$7,0)</f>
        <v>375122.333333333</v>
      </c>
      <c r="T29" s="9" t="n">
        <f aca="false">IF(T$2&gt;=Вводные!$B$30,OPEX!$D$7,0)</f>
        <v>375122.333333333</v>
      </c>
      <c r="U29" s="9" t="n">
        <f aca="false">IF(U$2&gt;=Вводные!$B$30,OPEX!$D$7,0)</f>
        <v>375122.333333333</v>
      </c>
      <c r="V29" s="9" t="n">
        <f aca="false">IF(V$2&gt;=Вводные!$B$30,OPEX!$D$7,0)</f>
        <v>375122.333333333</v>
      </c>
      <c r="W29" s="9" t="n">
        <f aca="false">IF(W$2&gt;=Вводные!$B$30,OPEX!$D$7,0)</f>
        <v>375122.333333333</v>
      </c>
      <c r="X29" s="9" t="n">
        <f aca="false">IF(X$2&gt;=Вводные!$B$30,OPEX!$D$7,0)</f>
        <v>375122.333333333</v>
      </c>
      <c r="Y29" s="9" t="n">
        <f aca="false">IF(Y$2&gt;=Вводные!$B$30,OPEX!$D$7,0)</f>
        <v>375122.333333333</v>
      </c>
      <c r="Z29" s="9" t="n">
        <f aca="false">IF(Z$2&gt;=Вводные!$B$30,OPEX!$D$7,0)</f>
        <v>375122.333333333</v>
      </c>
      <c r="AA29" s="9" t="n">
        <f aca="false">IF(AA$2&gt;=Вводные!$B$30,OPEX!$D$7,0)</f>
        <v>375122.333333333</v>
      </c>
      <c r="AB29" s="9" t="n">
        <f aca="false">IF(AB$2&gt;=Вводные!$B$30,OPEX!$D$7,0)</f>
        <v>375122.333333333</v>
      </c>
      <c r="AC29" s="9" t="n">
        <f aca="false">IF(AC$2&gt;=Вводные!$B$30,OPEX!$D$7,0)</f>
        <v>375122.333333333</v>
      </c>
      <c r="AD29" s="9" t="n">
        <f aca="false">IF(AD$2&gt;=Вводные!$B$30,OPEX!$D$7,0)</f>
        <v>375122.333333333</v>
      </c>
      <c r="AE29" s="9" t="n">
        <f aca="false">IF(AE$2&gt;=Вводные!$B$30,OPEX!$D$7,0)</f>
        <v>375122.333333333</v>
      </c>
      <c r="AF29" s="9" t="n">
        <f aca="false">IF(AF$2&gt;=Вводные!$B$30,OPEX!$D$7,0)</f>
        <v>375122.333333333</v>
      </c>
      <c r="AG29" s="9" t="n">
        <f aca="false">IF(AG$2&gt;=Вводные!$B$30,OPEX!$D$7,0)</f>
        <v>375122.333333333</v>
      </c>
      <c r="AH29" s="9" t="n">
        <f aca="false">IF(AH$2&gt;=Вводные!$B$30,OPEX!$D$7,0)</f>
        <v>375122.333333333</v>
      </c>
      <c r="AI29" s="9" t="n">
        <f aca="false">IF(AI$2&gt;=Вводные!$B$30,OPEX!$D$7,0)</f>
        <v>375122.333333333</v>
      </c>
      <c r="AJ29" s="9" t="n">
        <f aca="false">IF(AJ$2&gt;=Вводные!$B$30,OPEX!$D$7,0)</f>
        <v>375122.333333333</v>
      </c>
      <c r="AK29" s="9" t="n">
        <f aca="false">IF(AK$2&gt;=Вводные!$B$30,OPEX!$D$7,0)</f>
        <v>375122.333333333</v>
      </c>
      <c r="AL29" s="9" t="n">
        <f aca="false">IF(AL$2&gt;=Вводные!$B$30,OPEX!$D$7,0)</f>
        <v>375122.333333333</v>
      </c>
    </row>
    <row r="30" customFormat="false" ht="15" hidden="false" customHeight="true" outlineLevel="0" collapsed="false">
      <c r="A30" s="8" t="s">
        <v>262</v>
      </c>
      <c r="B30" s="9" t="n">
        <f aca="false">Маркетинг!B15+Маркетинг!B17*B50</f>
        <v>0</v>
      </c>
      <c r="C30" s="9" t="n">
        <f aca="false">Маркетинг!C15+Маркетинг!C17*C50</f>
        <v>135000</v>
      </c>
      <c r="D30" s="9" t="n">
        <f aca="false">Маркетинг!D15+Маркетинг!D17*D50</f>
        <v>190000</v>
      </c>
      <c r="E30" s="9" t="n">
        <f aca="false">Маркетинг!E15+Маркетинг!E17*E50</f>
        <v>247500</v>
      </c>
      <c r="F30" s="9" t="n">
        <f aca="false">Маркетинг!F15+Маркетинг!F17*F50</f>
        <v>247500</v>
      </c>
      <c r="G30" s="9" t="n">
        <f aca="false">Маркетинг!G15+Маркетинг!G17*G50</f>
        <v>247500</v>
      </c>
      <c r="H30" s="9" t="n">
        <f aca="false">Маркетинг!H15+Маркетинг!H17*H50</f>
        <v>247500</v>
      </c>
      <c r="I30" s="9" t="n">
        <f aca="false">Маркетинг!I15+Маркетинг!I17*I50</f>
        <v>247500</v>
      </c>
      <c r="J30" s="9" t="n">
        <f aca="false">Маркетинг!J15+Маркетинг!J17*J50</f>
        <v>247500</v>
      </c>
      <c r="K30" s="9" t="n">
        <f aca="false">Маркетинг!K15+Маркетинг!K17*K50</f>
        <v>247500</v>
      </c>
      <c r="L30" s="9" t="n">
        <f aca="false">Маркетинг!L15+Маркетинг!L17*L50</f>
        <v>247500</v>
      </c>
      <c r="M30" s="9" t="n">
        <f aca="false">Маркетинг!M15+Маркетинг!M17*M50</f>
        <v>247500</v>
      </c>
      <c r="N30" s="9" t="n">
        <f aca="false">Маркетинг!N15+Маркетинг!N17*N50</f>
        <v>254169.922567006</v>
      </c>
      <c r="O30" s="9" t="n">
        <f aca="false">Маркетинг!O15+Маркетинг!O17*O50</f>
        <v>262180.484435149</v>
      </c>
      <c r="P30" s="9" t="n">
        <f aca="false">Маркетинг!P15+Маркетинг!P17*P50</f>
        <v>270100.521867042</v>
      </c>
      <c r="Q30" s="9" t="n">
        <f aca="false">Маркетинг!Q15+Маркетинг!Q17*Q50</f>
        <v>278000.632898953</v>
      </c>
      <c r="R30" s="9" t="n">
        <f aca="false">Маркетинг!R15+Маркетинг!R17*R50</f>
        <v>285910.64476105</v>
      </c>
      <c r="S30" s="9" t="n">
        <f aca="false">Маркетинг!S15+Маркетинг!S17*S50</f>
        <v>293851.419143303</v>
      </c>
      <c r="T30" s="9" t="n">
        <f aca="false">Маркетинг!T15+Маркетинг!T17*T50</f>
        <v>301836.830202922</v>
      </c>
      <c r="U30" s="9" t="n">
        <f aca="false">Маркетинг!U15+Маркетинг!U17*U50</f>
        <v>309875.729380318</v>
      </c>
      <c r="V30" s="9" t="n">
        <f aca="false">Маркетинг!V15+Маркетинг!V17*V50</f>
        <v>317973.312326545</v>
      </c>
      <c r="W30" s="9" t="n">
        <f aca="false">Маркетинг!W15+Маркетинг!W17*W50</f>
        <v>326132.103049308</v>
      </c>
      <c r="X30" s="9" t="n">
        <f aca="false">Маркетинг!X15+Маркетинг!X17*X50</f>
        <v>334352.67347729</v>
      </c>
      <c r="Y30" s="9" t="n">
        <f aca="false">Маркетинг!Y15+Маркетинг!Y17*Y50</f>
        <v>342634.176055449</v>
      </c>
      <c r="Z30" s="9" t="n">
        <f aca="false">Маркетинг!Z15+Маркетинг!Z17*Z50</f>
        <v>350974.741526008</v>
      </c>
      <c r="AA30" s="9" t="n">
        <f aca="false">Маркетинг!AA15+Маркетинг!AA17*AA50</f>
        <v>359371.777860777</v>
      </c>
      <c r="AB30" s="9" t="n">
        <f aca="false">Маркетинг!AB15+Маркетинг!AB17*AB50</f>
        <v>367822.195704969</v>
      </c>
      <c r="AC30" s="9" t="n">
        <f aca="false">Маркетинг!AC15+Маркетинг!AC17*AC50</f>
        <v>376322.578567974</v>
      </c>
      <c r="AD30" s="9" t="n">
        <f aca="false">Маркетинг!AD15+Маркетинг!AD17*AD50</f>
        <v>384869.311100954</v>
      </c>
      <c r="AE30" s="9" t="n">
        <f aca="false">Маркетинг!AE15+Маркетинг!AE17*AE50</f>
        <v>393458.675367666</v>
      </c>
      <c r="AF30" s="9" t="n">
        <f aca="false">Маркетинг!AF15+Маркетинг!AF17*AF50</f>
        <v>402086.922560756</v>
      </c>
      <c r="AG30" s="9" t="n">
        <f aca="false">Маркетинг!AG15+Маркетинг!AG17*AG50</f>
        <v>410750.325830821</v>
      </c>
      <c r="AH30" s="9" t="n">
        <f aca="false">Маркетинг!AH15+Маркетинг!AH17*AH50</f>
        <v>419445.218576304</v>
      </c>
      <c r="AI30" s="9" t="n">
        <f aca="false">Маркетинг!AI15+Маркетинг!AI17*AI50</f>
        <v>428168.021553182</v>
      </c>
      <c r="AJ30" s="9" t="n">
        <f aca="false">Маркетинг!AJ15+Маркетинг!AJ17*AJ50</f>
        <v>436915.26141231</v>
      </c>
      <c r="AK30" s="9" t="n">
        <f aca="false">Маркетинг!AK15+Маркетинг!AK17*AK50</f>
        <v>445683.582695778</v>
      </c>
      <c r="AL30" s="9" t="n">
        <f aca="false">Маркетинг!AL15+Маркетинг!AL17*AL50</f>
        <v>454469.754877184</v>
      </c>
    </row>
    <row r="31" customFormat="false" ht="15" hidden="false" customHeight="true" outlineLevel="0" collapsed="false">
      <c r="A31" s="8" t="s">
        <v>32</v>
      </c>
      <c r="B31" s="9" t="n">
        <f aca="false">Разработка!$I$10</f>
        <v>3085641</v>
      </c>
      <c r="C31" s="9" t="n">
        <f aca="false">0</f>
        <v>0</v>
      </c>
      <c r="D31" s="9" t="n">
        <f aca="false">0</f>
        <v>0</v>
      </c>
      <c r="E31" s="9" t="n">
        <f aca="false">0</f>
        <v>0</v>
      </c>
      <c r="F31" s="9" t="n">
        <f aca="false">0</f>
        <v>0</v>
      </c>
      <c r="G31" s="9" t="n">
        <f aca="false">0</f>
        <v>0</v>
      </c>
      <c r="H31" s="9" t="n">
        <f aca="false">0</f>
        <v>0</v>
      </c>
      <c r="I31" s="9" t="n">
        <f aca="false">0</f>
        <v>0</v>
      </c>
      <c r="J31" s="9" t="n">
        <f aca="false">0</f>
        <v>0</v>
      </c>
      <c r="K31" s="9" t="n">
        <f aca="false">0</f>
        <v>0</v>
      </c>
      <c r="L31" s="9" t="n">
        <f aca="false">0</f>
        <v>0</v>
      </c>
      <c r="M31" s="9" t="n">
        <f aca="false">0</f>
        <v>0</v>
      </c>
      <c r="N31" s="9" t="n">
        <f aca="false">0</f>
        <v>0</v>
      </c>
      <c r="O31" s="9" t="n">
        <f aca="false">0</f>
        <v>0</v>
      </c>
      <c r="P31" s="9" t="n">
        <f aca="false">0</f>
        <v>0</v>
      </c>
      <c r="Q31" s="9" t="n">
        <f aca="false">0</f>
        <v>0</v>
      </c>
      <c r="R31" s="9" t="n">
        <f aca="false">0</f>
        <v>0</v>
      </c>
      <c r="S31" s="9" t="n">
        <f aca="false">0</f>
        <v>0</v>
      </c>
      <c r="T31" s="9" t="n">
        <f aca="false">0</f>
        <v>0</v>
      </c>
      <c r="U31" s="9" t="n">
        <f aca="false">0</f>
        <v>0</v>
      </c>
      <c r="V31" s="9" t="n">
        <f aca="false">0</f>
        <v>0</v>
      </c>
      <c r="W31" s="9" t="n">
        <f aca="false">0</f>
        <v>0</v>
      </c>
      <c r="X31" s="9" t="n">
        <f aca="false">0</f>
        <v>0</v>
      </c>
      <c r="Y31" s="9" t="n">
        <f aca="false">0</f>
        <v>0</v>
      </c>
      <c r="Z31" s="9" t="n">
        <f aca="false">0</f>
        <v>0</v>
      </c>
      <c r="AA31" s="9" t="n">
        <f aca="false">0</f>
        <v>0</v>
      </c>
      <c r="AB31" s="9" t="n">
        <f aca="false">0</f>
        <v>0</v>
      </c>
      <c r="AC31" s="9" t="n">
        <f aca="false">0</f>
        <v>0</v>
      </c>
      <c r="AD31" s="9" t="n">
        <f aca="false">0</f>
        <v>0</v>
      </c>
      <c r="AE31" s="9" t="n">
        <f aca="false">0</f>
        <v>0</v>
      </c>
      <c r="AF31" s="9" t="n">
        <f aca="false">0</f>
        <v>0</v>
      </c>
      <c r="AG31" s="9" t="n">
        <f aca="false">0</f>
        <v>0</v>
      </c>
      <c r="AH31" s="9" t="n">
        <f aca="false">0</f>
        <v>0</v>
      </c>
      <c r="AI31" s="9" t="n">
        <f aca="false">0</f>
        <v>0</v>
      </c>
      <c r="AJ31" s="9" t="n">
        <f aca="false">0</f>
        <v>0</v>
      </c>
      <c r="AK31" s="9" t="n">
        <f aca="false">0</f>
        <v>0</v>
      </c>
      <c r="AL31" s="9" t="n">
        <f aca="false">0</f>
        <v>0</v>
      </c>
    </row>
    <row r="32" customFormat="false" ht="15" hidden="false" customHeight="true" outlineLevel="0" collapsed="false">
      <c r="A32" s="8" t="s">
        <v>263</v>
      </c>
      <c r="B32" s="9" t="n">
        <f aca="false">B7*OPEX!$C$10+B19*OPEX!$C$11+B26*Вводные!$B$26</f>
        <v>0</v>
      </c>
      <c r="C32" s="9" t="n">
        <f aca="false">C7*OPEX!$C$10+C19*OPEX!$C$11+C26*Вводные!$B$26</f>
        <v>25771.1878997146</v>
      </c>
      <c r="D32" s="9" t="n">
        <f aca="false">D7*OPEX!$C$10+D19*OPEX!$C$11+D26*Вводные!$B$26</f>
        <v>33413.8597668526</v>
      </c>
      <c r="E32" s="9" t="n">
        <f aca="false">E7*OPEX!$C$10+E19*OPEX!$C$11+E26*Вводные!$B$26</f>
        <v>38128.5240522083</v>
      </c>
      <c r="F32" s="9" t="n">
        <f aca="false">F7*OPEX!$C$10+F19*OPEX!$C$11+F26*Вводные!$B$26</f>
        <v>44817.6264024098</v>
      </c>
      <c r="G32" s="9" t="n">
        <f aca="false">G7*OPEX!$C$10+G19*OPEX!$C$11+G26*Вводные!$B$26</f>
        <v>51098.1163655341</v>
      </c>
      <c r="H32" s="9" t="n">
        <f aca="false">H7*OPEX!$C$10+H19*OPEX!$C$11+H26*Вводные!$B$26</f>
        <v>57005.9562004201</v>
      </c>
      <c r="I32" s="9" t="n">
        <f aca="false">I7*OPEX!$C$10+I19*OPEX!$C$11+I26*Вводные!$B$26</f>
        <v>62658.9126701914</v>
      </c>
      <c r="J32" s="9" t="n">
        <f aca="false">J7*OPEX!$C$10+J19*OPEX!$C$11+J26*Вводные!$B$26</f>
        <v>68073.6199787194</v>
      </c>
      <c r="K32" s="9" t="n">
        <f aca="false">K7*OPEX!$C$10+K19*OPEX!$C$11+K26*Вводные!$B$26</f>
        <v>73255.4881986548</v>
      </c>
      <c r="L32" s="9" t="n">
        <f aca="false">L7*OPEX!$C$10+L19*OPEX!$C$11+L26*Вводные!$B$26</f>
        <v>78207.9340289749</v>
      </c>
      <c r="M32" s="9" t="n">
        <f aca="false">M7*OPEX!$C$10+M19*OPEX!$C$11+M26*Вводные!$B$26</f>
        <v>82935.1141045509</v>
      </c>
      <c r="N32" s="9" t="n">
        <f aca="false">N7*OPEX!$C$10+N19*OPEX!$C$11+N26*Вводные!$B$26</f>
        <v>87491.9293364042</v>
      </c>
      <c r="O32" s="9" t="n">
        <f aca="false">O7*OPEX!$C$10+O19*OPEX!$C$11+O26*Вводные!$B$26</f>
        <v>91952.9105386079</v>
      </c>
      <c r="P32" s="9" t="n">
        <f aca="false">P7*OPEX!$C$10+P19*OPEX!$C$11+P26*Вводные!$B$26</f>
        <v>96363.7758253711</v>
      </c>
      <c r="Q32" s="9" t="n">
        <f aca="false">Q7*OPEX!$C$10+Q19*OPEX!$C$11+Q26*Вводные!$B$26</f>
        <v>100745.176794773</v>
      </c>
      <c r="R32" s="9" t="n">
        <f aca="false">R7*OPEX!$C$10+R19*OPEX!$C$11+R26*Вводные!$B$26</f>
        <v>105109.499986918</v>
      </c>
      <c r="S32" s="9" t="n">
        <f aca="false">S7*OPEX!$C$10+S19*OPEX!$C$11+S26*Вводные!$B$26</f>
        <v>109464.982115427</v>
      </c>
      <c r="T32" s="9" t="n">
        <f aca="false">T7*OPEX!$C$10+T19*OPEX!$C$11+T26*Вводные!$B$26</f>
        <v>113816.921637009</v>
      </c>
      <c r="U32" s="9" t="n">
        <f aca="false">U7*OPEX!$C$10+U19*OPEX!$C$11+U26*Вводные!$B$26</f>
        <v>118168.564762973</v>
      </c>
      <c r="V32" s="9" t="n">
        <f aca="false">V7*OPEX!$C$10+V19*OPEX!$C$11+V26*Вводные!$B$26</f>
        <v>122521.727479189</v>
      </c>
      <c r="W32" s="9" t="n">
        <f aca="false">W7*OPEX!$C$10+W19*OPEX!$C$11+W26*Вводные!$B$26</f>
        <v>126877.237576785</v>
      </c>
      <c r="X32" s="9" t="n">
        <f aca="false">X7*OPEX!$C$10+X19*OPEX!$C$11+X26*Вводные!$B$26</f>
        <v>131235.2502596</v>
      </c>
      <c r="Y32" s="9" t="n">
        <f aca="false">Y7*OPEX!$C$10+Y19*OPEX!$C$11+Y26*Вводные!$B$26</f>
        <v>135595.473552951</v>
      </c>
      <c r="Z32" s="9" t="n">
        <f aca="false">Z7*OPEX!$C$10+Z19*OPEX!$C$11+Z26*Вводные!$B$26</f>
        <v>139957.328658321</v>
      </c>
      <c r="AA32" s="9" t="n">
        <f aca="false">AA7*OPEX!$C$10+AA19*OPEX!$C$11+AA26*Вводные!$B$26</f>
        <v>140597.123284544</v>
      </c>
      <c r="AB32" s="9" t="n">
        <f aca="false">AB7*OPEX!$C$10+AB19*OPEX!$C$11+AB26*Вводные!$B$26</f>
        <v>144800.210826255</v>
      </c>
      <c r="AC32" s="9" t="n">
        <f aca="false">AC7*OPEX!$C$10+AC19*OPEX!$C$11+AC26*Вводные!$B$26</f>
        <v>149001.8058144</v>
      </c>
      <c r="AD32" s="9" t="n">
        <f aca="false">AD7*OPEX!$C$10+AD19*OPEX!$C$11+AD26*Вводные!$B$26</f>
        <v>153201.090695689</v>
      </c>
      <c r="AE32" s="9" t="n">
        <f aca="false">AE7*OPEX!$C$10+AE19*OPEX!$C$11+AE26*Вводные!$B$26</f>
        <v>157397.262182233</v>
      </c>
      <c r="AF32" s="9" t="n">
        <f aca="false">AF7*OPEX!$C$10+AF19*OPEX!$C$11+AF26*Вводные!$B$26</f>
        <v>161589.544346099</v>
      </c>
      <c r="AG32" s="9" t="n">
        <f aca="false">AG7*OPEX!$C$10+AG19*OPEX!$C$11+AG26*Вводные!$B$26</f>
        <v>165777.195530957</v>
      </c>
      <c r="AH32" s="9" t="n">
        <f aca="false">AH7*OPEX!$C$10+AH19*OPEX!$C$11+AH26*Вводные!$B$26</f>
        <v>169959.511060366</v>
      </c>
      <c r="AI32" s="9" t="n">
        <f aca="false">AI7*OPEX!$C$10+AI19*OPEX!$C$11+AI26*Вводные!$B$26</f>
        <v>174135.823184163</v>
      </c>
      <c r="AJ32" s="9" t="n">
        <f aca="false">AJ7*OPEX!$C$10+AJ19*OPEX!$C$11+AJ26*Вводные!$B$26</f>
        <v>178305.4993014</v>
      </c>
      <c r="AK32" s="9" t="n">
        <f aca="false">AK7*OPEX!$C$10+AK19*OPEX!$C$11+AK26*Вводные!$B$26</f>
        <v>182467.939197307</v>
      </c>
      <c r="AL32" s="9" t="n">
        <f aca="false">AL7*OPEX!$C$10+AL19*OPEX!$C$11+AL26*Вводные!$B$26</f>
        <v>186622.571807925</v>
      </c>
    </row>
    <row r="33" customFormat="false" ht="15" hidden="false" customHeight="true" outlineLevel="0" collapsed="false">
      <c r="A33" s="5" t="s">
        <v>264</v>
      </c>
      <c r="B33" s="6" t="n">
        <f aca="false">SUM(B29:B32)</f>
        <v>3085641</v>
      </c>
      <c r="C33" s="6" t="n">
        <f aca="false">SUM(C29:C32)</f>
        <v>535893.521233048</v>
      </c>
      <c r="D33" s="6" t="n">
        <f aca="false">SUM(D29:D32)</f>
        <v>598536.193100186</v>
      </c>
      <c r="E33" s="6" t="n">
        <f aca="false">SUM(E29:E32)</f>
        <v>660750.857385542</v>
      </c>
      <c r="F33" s="6" t="n">
        <f aca="false">SUM(F29:F32)</f>
        <v>667439.959735743</v>
      </c>
      <c r="G33" s="6" t="n">
        <f aca="false">SUM(G29:G32)</f>
        <v>673720.449698867</v>
      </c>
      <c r="H33" s="6" t="n">
        <f aca="false">SUM(H29:H32)</f>
        <v>679628.289533753</v>
      </c>
      <c r="I33" s="6" t="n">
        <f aca="false">SUM(I29:I32)</f>
        <v>685281.246003525</v>
      </c>
      <c r="J33" s="6" t="n">
        <f aca="false">SUM(J29:J32)</f>
        <v>690695.953312053</v>
      </c>
      <c r="K33" s="6" t="n">
        <f aca="false">SUM(K29:K32)</f>
        <v>695877.821531988</v>
      </c>
      <c r="L33" s="6" t="n">
        <f aca="false">SUM(L29:L32)</f>
        <v>700830.267362308</v>
      </c>
      <c r="M33" s="6" t="n">
        <f aca="false">SUM(M29:M32)</f>
        <v>705557.447437884</v>
      </c>
      <c r="N33" s="6" t="n">
        <f aca="false">SUM(N29:N32)</f>
        <v>716784.185236744</v>
      </c>
      <c r="O33" s="6" t="n">
        <f aca="false">SUM(O29:O32)</f>
        <v>729255.728307091</v>
      </c>
      <c r="P33" s="6" t="n">
        <f aca="false">SUM(P29:P32)</f>
        <v>741586.631025746</v>
      </c>
      <c r="Q33" s="6" t="n">
        <f aca="false">SUM(Q29:Q32)</f>
        <v>753868.143027059</v>
      </c>
      <c r="R33" s="6" t="n">
        <f aca="false">SUM(R29:R32)</f>
        <v>766142.478081302</v>
      </c>
      <c r="S33" s="6" t="n">
        <f aca="false">SUM(S29:S32)</f>
        <v>778438.734592063</v>
      </c>
      <c r="T33" s="6" t="n">
        <f aca="false">SUM(T29:T32)</f>
        <v>790776.085173265</v>
      </c>
      <c r="U33" s="6" t="n">
        <f aca="false">SUM(U29:U32)</f>
        <v>803166.627476624</v>
      </c>
      <c r="V33" s="6" t="n">
        <f aca="false">SUM(V29:V32)</f>
        <v>815617.373139067</v>
      </c>
      <c r="W33" s="6" t="n">
        <f aca="false">SUM(W29:W32)</f>
        <v>828131.673959426</v>
      </c>
      <c r="X33" s="6" t="n">
        <f aca="false">SUM(X29:X32)</f>
        <v>840710.257070223</v>
      </c>
      <c r="Y33" s="6" t="n">
        <f aca="false">SUM(Y29:Y32)</f>
        <v>853351.982941733</v>
      </c>
      <c r="Z33" s="6" t="n">
        <f aca="false">SUM(Z29:Z32)</f>
        <v>866054.403517662</v>
      </c>
      <c r="AA33" s="6" t="n">
        <f aca="false">SUM(AA29:AA32)</f>
        <v>875091.234478654</v>
      </c>
      <c r="AB33" s="6" t="n">
        <f aca="false">SUM(AB29:AB32)</f>
        <v>887744.739864557</v>
      </c>
      <c r="AC33" s="6" t="n">
        <f aca="false">SUM(AC29:AC32)</f>
        <v>900446.717715708</v>
      </c>
      <c r="AD33" s="6" t="n">
        <f aca="false">SUM(AD29:AD32)</f>
        <v>913192.735129977</v>
      </c>
      <c r="AE33" s="6" t="n">
        <f aca="false">SUM(AE29:AE32)</f>
        <v>925978.270883232</v>
      </c>
      <c r="AF33" s="6" t="n">
        <f aca="false">SUM(AF29:AF32)</f>
        <v>938798.800240188</v>
      </c>
      <c r="AG33" s="6" t="n">
        <f aca="false">SUM(AG29:AG32)</f>
        <v>951649.854695111</v>
      </c>
      <c r="AH33" s="6" t="n">
        <f aca="false">SUM(AH29:AH32)</f>
        <v>964527.062970003</v>
      </c>
      <c r="AI33" s="6" t="n">
        <f aca="false">SUM(AI29:AI32)</f>
        <v>977426.178070678</v>
      </c>
      <c r="AJ33" s="6" t="n">
        <f aca="false">SUM(AJ29:AJ32)</f>
        <v>990343.094047044</v>
      </c>
      <c r="AK33" s="6" t="n">
        <f aca="false">SUM(AK29:AK32)</f>
        <v>1003273.85522642</v>
      </c>
      <c r="AL33" s="6" t="n">
        <f aca="false">SUM(AL29:AL32)</f>
        <v>1016214.66001844</v>
      </c>
    </row>
    <row r="35" customFormat="false" ht="15" hidden="false" customHeight="true" outlineLevel="0" collapsed="false">
      <c r="A35" s="5" t="s">
        <v>37</v>
      </c>
      <c r="B35" s="6" t="n">
        <f aca="false">B26-B33</f>
        <v>-3085641</v>
      </c>
      <c r="C35" s="6" t="n">
        <f aca="false">C26-C33</f>
        <v>-512416.279569472</v>
      </c>
      <c r="D35" s="6" t="n">
        <f aca="false">D26-D33</f>
        <v>-527577.651039087</v>
      </c>
      <c r="E35" s="6" t="n">
        <f aca="false">E26-E33</f>
        <v>-539457.672066428</v>
      </c>
      <c r="F35" s="6" t="n">
        <f aca="false">F26-F33</f>
        <v>-448701.434156205</v>
      </c>
      <c r="G35" s="6" t="n">
        <f aca="false">G26-G33</f>
        <v>-372103.187884491</v>
      </c>
      <c r="H35" s="6" t="n">
        <f aca="false">H26-H33</f>
        <v>-295754.100832566</v>
      </c>
      <c r="I35" s="6" t="n">
        <f aca="false">I26-I33</f>
        <v>-219889.307972</v>
      </c>
      <c r="J35" s="6" t="n">
        <f aca="false">J26-J33</f>
        <v>-144845.390229076</v>
      </c>
      <c r="K35" s="6" t="n">
        <f aca="false">K26-K33</f>
        <v>-70962.4621551324</v>
      </c>
      <c r="L35" s="6" t="n">
        <f aca="false">L26-L33</f>
        <v>1471.6314082389</v>
      </c>
      <c r="M35" s="6" t="n">
        <f aca="false">M26-M33</f>
        <v>72230.3543005119</v>
      </c>
      <c r="N35" s="6" t="n">
        <f aca="false">N26-N33</f>
        <v>134425.024808959</v>
      </c>
      <c r="O35" s="6" t="n">
        <f aca="false">O26-O33</f>
        <v>194894.137570647</v>
      </c>
      <c r="P35" s="6" t="n">
        <f aca="false">P26-P33</f>
        <v>255582.137181753</v>
      </c>
      <c r="Q35" s="6" t="n">
        <f aca="false">Q26-Q33</f>
        <v>316602.555767722</v>
      </c>
      <c r="R35" s="6" t="n">
        <f aca="false">R26-R33</f>
        <v>378048.517833088</v>
      </c>
      <c r="S35" s="6" t="n">
        <f aca="false">S26-S33</f>
        <v>439971.373979824</v>
      </c>
      <c r="T35" s="6" t="n">
        <f aca="false">T26-T33</f>
        <v>502393.435270255</v>
      </c>
      <c r="U35" s="6" t="n">
        <f aca="false">U26-U33</f>
        <v>565316.379678377</v>
      </c>
      <c r="V35" s="6" t="n">
        <f aca="false">V26-V33</f>
        <v>628727.466406865</v>
      </c>
      <c r="W35" s="6" t="n">
        <f aca="false">W26-W33</f>
        <v>692604.137859233</v>
      </c>
      <c r="X35" s="6" t="n">
        <f aca="false">X26-X33</f>
        <v>756917.432654953</v>
      </c>
      <c r="Y35" s="6" t="n">
        <f aca="false">Y26-Y33</f>
        <v>821634.508810944</v>
      </c>
      <c r="Z35" s="6" t="n">
        <f aca="false">Z26-Z33</f>
        <v>886720.494467447</v>
      </c>
      <c r="AA35" s="6" t="n">
        <f aca="false">AA26-AA33</f>
        <v>868674.481546596</v>
      </c>
      <c r="AB35" s="6" t="n">
        <f aca="false">AB26-AB33</f>
        <v>930811.98842722</v>
      </c>
      <c r="AC35" s="6" t="n">
        <f aca="false">AC26-AC33</f>
        <v>993198.896262073</v>
      </c>
      <c r="AD35" s="6" t="n">
        <f aca="false">AD26-AD33</f>
        <v>1055803.87553065</v>
      </c>
      <c r="AE35" s="6" t="n">
        <f aca="false">AE26-AE33</f>
        <v>1118597.13582209</v>
      </c>
      <c r="AF35" s="6" t="n">
        <f aca="false">AF26-AF33</f>
        <v>1181550.55419264</v>
      </c>
      <c r="AG35" s="6" t="n">
        <f aca="false">AG26-AG33</f>
        <v>1244637.71831081</v>
      </c>
      <c r="AH35" s="6" t="n">
        <f aca="false">AH26-AH33</f>
        <v>1307833.90911795</v>
      </c>
      <c r="AI35" s="6" t="n">
        <f aca="false">AI26-AI33</f>
        <v>1371116.04203485</v>
      </c>
      <c r="AJ35" s="6" t="n">
        <f aca="false">AJ26-AJ33</f>
        <v>1434462.58122373</v>
      </c>
      <c r="AK35" s="6" t="n">
        <f aca="false">AK26-AK33</f>
        <v>1497853.43783211</v>
      </c>
      <c r="AL35" s="6" t="n">
        <f aca="false">AL26-AL33</f>
        <v>1561269.86031598</v>
      </c>
    </row>
    <row r="36" customFormat="false" ht="14.25" hidden="false" customHeight="true" outlineLevel="0" collapsed="false">
      <c r="A36" s="24" t="s">
        <v>265</v>
      </c>
      <c r="B36" s="25" t="n">
        <f aca="false">B35</f>
        <v>-3085641</v>
      </c>
      <c r="C36" s="25" t="n">
        <f aca="false">B36+C35</f>
        <v>-3598057.27956947</v>
      </c>
      <c r="D36" s="25" t="n">
        <f aca="false">C36+D35</f>
        <v>-4125634.93060856</v>
      </c>
      <c r="E36" s="25" t="n">
        <f aca="false">D36+E35</f>
        <v>-4665092.60267499</v>
      </c>
      <c r="F36" s="25" t="n">
        <f aca="false">E36+F35</f>
        <v>-5113794.03683119</v>
      </c>
      <c r="G36" s="25" t="n">
        <f aca="false">F36+G35</f>
        <v>-5485897.22471568</v>
      </c>
      <c r="H36" s="25" t="n">
        <f aca="false">G36+H35</f>
        <v>-5781651.32554825</v>
      </c>
      <c r="I36" s="25" t="n">
        <f aca="false">H36+I35</f>
        <v>-6001540.63352025</v>
      </c>
      <c r="J36" s="25" t="n">
        <f aca="false">I36+J35</f>
        <v>-6146386.02374932</v>
      </c>
      <c r="K36" s="25" t="n">
        <f aca="false">J36+K35</f>
        <v>-6217348.48590446</v>
      </c>
      <c r="L36" s="25" t="n">
        <f aca="false">K36+L35</f>
        <v>-6215876.85449622</v>
      </c>
      <c r="M36" s="25" t="n">
        <f aca="false">L36+M35</f>
        <v>-6143646.5001957</v>
      </c>
      <c r="N36" s="25" t="n">
        <f aca="false">M36+N35</f>
        <v>-6009221.47538675</v>
      </c>
      <c r="O36" s="25" t="n">
        <f aca="false">N36+O35</f>
        <v>-5814327.3378161</v>
      </c>
      <c r="P36" s="25" t="n">
        <f aca="false">O36+P35</f>
        <v>-5558745.20063434</v>
      </c>
      <c r="Q36" s="25" t="n">
        <f aca="false">P36+Q35</f>
        <v>-5242142.64486662</v>
      </c>
      <c r="R36" s="25" t="n">
        <f aca="false">Q36+R35</f>
        <v>-4864094.12703353</v>
      </c>
      <c r="S36" s="25" t="n">
        <f aca="false">R36+S35</f>
        <v>-4424122.75305371</v>
      </c>
      <c r="T36" s="25" t="n">
        <f aca="false">S36+T35</f>
        <v>-3921729.31778346</v>
      </c>
      <c r="U36" s="25" t="n">
        <f aca="false">T36+U35</f>
        <v>-3356412.93810508</v>
      </c>
      <c r="V36" s="25" t="n">
        <f aca="false">U36+V35</f>
        <v>-2727685.47169821</v>
      </c>
      <c r="W36" s="25" t="n">
        <f aca="false">V36+W35</f>
        <v>-2035081.33383898</v>
      </c>
      <c r="X36" s="25" t="n">
        <f aca="false">W36+X35</f>
        <v>-1278163.90118403</v>
      </c>
      <c r="Y36" s="25" t="n">
        <f aca="false">X36+Y35</f>
        <v>-456529.392373083</v>
      </c>
      <c r="Z36" s="25" t="n">
        <f aca="false">Y36+Z35</f>
        <v>430191.102094363</v>
      </c>
      <c r="AA36" s="25" t="n">
        <f aca="false">Z36+AA35</f>
        <v>1298865.58364096</v>
      </c>
      <c r="AB36" s="25" t="n">
        <f aca="false">AA36+AB35</f>
        <v>2229677.57206818</v>
      </c>
      <c r="AC36" s="25" t="n">
        <f aca="false">AB36+AC35</f>
        <v>3222876.46833025</v>
      </c>
      <c r="AD36" s="25" t="n">
        <f aca="false">AC36+AD35</f>
        <v>4278680.3438609</v>
      </c>
      <c r="AE36" s="25" t="n">
        <f aca="false">AD36+AE35</f>
        <v>5397277.47968299</v>
      </c>
      <c r="AF36" s="25" t="n">
        <f aca="false">AE36+AF35</f>
        <v>6578828.03387564</v>
      </c>
      <c r="AG36" s="25" t="n">
        <f aca="false">AF36+AG35</f>
        <v>7823465.75218644</v>
      </c>
      <c r="AH36" s="25" t="n">
        <f aca="false">AG36+AH35</f>
        <v>9131299.66130439</v>
      </c>
      <c r="AI36" s="25" t="n">
        <f aca="false">AH36+AI35</f>
        <v>10502415.7033392</v>
      </c>
      <c r="AJ36" s="25" t="n">
        <f aca="false">AI36+AJ35</f>
        <v>11936878.284563</v>
      </c>
      <c r="AK36" s="25" t="n">
        <f aca="false">AJ36+AK35</f>
        <v>13434731.7223951</v>
      </c>
      <c r="AL36" s="25" t="n">
        <f aca="false">AK36+AL35</f>
        <v>14996001.5827111</v>
      </c>
    </row>
    <row r="37" customFormat="false" ht="15" hidden="false" customHeight="true" outlineLevel="0" collapsed="false">
      <c r="A37" s="8" t="s">
        <v>266</v>
      </c>
      <c r="B37" s="9" t="n">
        <f aca="false">0</f>
        <v>0</v>
      </c>
      <c r="C37" s="9" t="n">
        <f aca="false">MAX(Вводные!$B$28*SUM($B$26:$N$26),Вводные!$B$27*MAX(0,$N$36))/12</f>
        <v>4239.51309682075</v>
      </c>
      <c r="D37" s="9" t="n">
        <f aca="false">MAX(Вводные!$B$28*SUM($B$26:$N$26),Вводные!$B$27*MAX(0,$N$36))/12</f>
        <v>4239.51309682075</v>
      </c>
      <c r="E37" s="9" t="n">
        <f aca="false">MAX(Вводные!$B$28*SUM($B$26:$N$26),Вводные!$B$27*MAX(0,$N$36))/12</f>
        <v>4239.51309682075</v>
      </c>
      <c r="F37" s="9" t="n">
        <f aca="false">MAX(Вводные!$B$28*SUM($B$26:$N$26),Вводные!$B$27*MAX(0,$N$36))/12</f>
        <v>4239.51309682075</v>
      </c>
      <c r="G37" s="9" t="n">
        <f aca="false">MAX(Вводные!$B$28*SUM($B$26:$N$26),Вводные!$B$27*MAX(0,$N$36))/12</f>
        <v>4239.51309682075</v>
      </c>
      <c r="H37" s="9" t="n">
        <f aca="false">MAX(Вводные!$B$28*SUM($B$26:$N$26),Вводные!$B$27*MAX(0,$N$36))/12</f>
        <v>4239.51309682075</v>
      </c>
      <c r="I37" s="9" t="n">
        <f aca="false">MAX(Вводные!$B$28*SUM($B$26:$N$26),Вводные!$B$27*MAX(0,$N$36))/12</f>
        <v>4239.51309682075</v>
      </c>
      <c r="J37" s="9" t="n">
        <f aca="false">MAX(Вводные!$B$28*SUM($B$26:$N$26),Вводные!$B$27*MAX(0,$N$36))/12</f>
        <v>4239.51309682075</v>
      </c>
      <c r="K37" s="9" t="n">
        <f aca="false">MAX(Вводные!$B$28*SUM($B$26:$N$26),Вводные!$B$27*MAX(0,$N$36))/12</f>
        <v>4239.51309682075</v>
      </c>
      <c r="L37" s="9" t="n">
        <f aca="false">MAX(Вводные!$B$28*SUM($B$26:$N$26),Вводные!$B$27*MAX(0,$N$36))/12</f>
        <v>4239.51309682075</v>
      </c>
      <c r="M37" s="9" t="n">
        <f aca="false">MAX(Вводные!$B$28*SUM($B$26:$N$26),Вводные!$B$27*MAX(0,$N$36))/12</f>
        <v>4239.51309682075</v>
      </c>
      <c r="N37" s="9" t="n">
        <f aca="false">MAX(Вводные!$B$28*SUM($B$26:$N$26),Вводные!$B$27*MAX(0,$N$36))/12</f>
        <v>4239.51309682075</v>
      </c>
      <c r="O37" s="9" t="n">
        <f aca="false">MAX(Вводные!$B$28*SUM($O$26:$Z$26),Вводные!$B$27*(MAX(0,$Z$36)-MAX(0,$N$36)))/12</f>
        <v>13338.760579827</v>
      </c>
      <c r="P37" s="9" t="n">
        <f aca="false">MAX(Вводные!$B$28*SUM($O$26:$Z$26),Вводные!$B$27*(MAX(0,$Z$36)-MAX(0,$N$36)))/12</f>
        <v>13338.760579827</v>
      </c>
      <c r="Q37" s="9" t="n">
        <f aca="false">MAX(Вводные!$B$28*SUM($O$26:$Z$26),Вводные!$B$27*(MAX(0,$Z$36)-MAX(0,$N$36)))/12</f>
        <v>13338.760579827</v>
      </c>
      <c r="R37" s="9" t="n">
        <f aca="false">MAX(Вводные!$B$28*SUM($O$26:$Z$26),Вводные!$B$27*(MAX(0,$Z$36)-MAX(0,$N$36)))/12</f>
        <v>13338.760579827</v>
      </c>
      <c r="S37" s="9" t="n">
        <f aca="false">MAX(Вводные!$B$28*SUM($O$26:$Z$26),Вводные!$B$27*(MAX(0,$Z$36)-MAX(0,$N$36)))/12</f>
        <v>13338.760579827</v>
      </c>
      <c r="T37" s="9" t="n">
        <f aca="false">MAX(Вводные!$B$28*SUM($O$26:$Z$26),Вводные!$B$27*(MAX(0,$Z$36)-MAX(0,$N$36)))/12</f>
        <v>13338.760579827</v>
      </c>
      <c r="U37" s="9" t="n">
        <f aca="false">MAX(Вводные!$B$28*SUM($O$26:$Z$26),Вводные!$B$27*(MAX(0,$Z$36)-MAX(0,$N$36)))/12</f>
        <v>13338.760579827</v>
      </c>
      <c r="V37" s="9" t="n">
        <f aca="false">MAX(Вводные!$B$28*SUM($O$26:$Z$26),Вводные!$B$27*(MAX(0,$Z$36)-MAX(0,$N$36)))/12</f>
        <v>13338.760579827</v>
      </c>
      <c r="W37" s="9" t="n">
        <f aca="false">MAX(Вводные!$B$28*SUM($O$26:$Z$26),Вводные!$B$27*(MAX(0,$Z$36)-MAX(0,$N$36)))/12</f>
        <v>13338.760579827</v>
      </c>
      <c r="X37" s="9" t="n">
        <f aca="false">MAX(Вводные!$B$28*SUM($O$26:$Z$26),Вводные!$B$27*(MAX(0,$Z$36)-MAX(0,$N$36)))/12</f>
        <v>13338.760579827</v>
      </c>
      <c r="Y37" s="9" t="n">
        <f aca="false">MAX(Вводные!$B$28*SUM($O$26:$Z$26),Вводные!$B$27*(MAX(0,$Z$36)-MAX(0,$N$36)))/12</f>
        <v>13338.760579827</v>
      </c>
      <c r="Z37" s="9" t="n">
        <f aca="false">MAX(Вводные!$B$28*SUM($O$26:$Z$26),Вводные!$B$27*(MAX(0,$Z$36)-MAX(0,$N$36)))/12</f>
        <v>13338.760579827</v>
      </c>
      <c r="AA37" s="9" t="n">
        <f aca="false">MAX(Вводные!$B$28*SUM($AA$26:$AL$26),Вводные!$B$27*(MAX(0,$AL$36)-MAX(0,$Z$36)))/12</f>
        <v>182072.631007709</v>
      </c>
      <c r="AB37" s="9" t="n">
        <f aca="false">MAX(Вводные!$B$28*SUM($AA$26:$AL$26),Вводные!$B$27*(MAX(0,$AL$36)-MAX(0,$Z$36)))/12</f>
        <v>182072.631007709</v>
      </c>
      <c r="AC37" s="9" t="n">
        <f aca="false">MAX(Вводные!$B$28*SUM($AA$26:$AL$26),Вводные!$B$27*(MAX(0,$AL$36)-MAX(0,$Z$36)))/12</f>
        <v>182072.631007709</v>
      </c>
      <c r="AD37" s="9" t="n">
        <f aca="false">MAX(Вводные!$B$28*SUM($AA$26:$AL$26),Вводные!$B$27*(MAX(0,$AL$36)-MAX(0,$Z$36)))/12</f>
        <v>182072.631007709</v>
      </c>
      <c r="AE37" s="9" t="n">
        <f aca="false">MAX(Вводные!$B$28*SUM($AA$26:$AL$26),Вводные!$B$27*(MAX(0,$AL$36)-MAX(0,$Z$36)))/12</f>
        <v>182072.631007709</v>
      </c>
      <c r="AF37" s="9" t="n">
        <f aca="false">MAX(Вводные!$B$28*SUM($AA$26:$AL$26),Вводные!$B$27*(MAX(0,$AL$36)-MAX(0,$Z$36)))/12</f>
        <v>182072.631007709</v>
      </c>
      <c r="AG37" s="9" t="n">
        <f aca="false">MAX(Вводные!$B$28*SUM($AA$26:$AL$26),Вводные!$B$27*(MAX(0,$AL$36)-MAX(0,$Z$36)))/12</f>
        <v>182072.631007709</v>
      </c>
      <c r="AH37" s="9" t="n">
        <f aca="false">MAX(Вводные!$B$28*SUM($AA$26:$AL$26),Вводные!$B$27*(MAX(0,$AL$36)-MAX(0,$Z$36)))/12</f>
        <v>182072.631007709</v>
      </c>
      <c r="AI37" s="9" t="n">
        <f aca="false">MAX(Вводные!$B$28*SUM($AA$26:$AL$26),Вводные!$B$27*(MAX(0,$AL$36)-MAX(0,$Z$36)))/12</f>
        <v>182072.631007709</v>
      </c>
      <c r="AJ37" s="9" t="n">
        <f aca="false">MAX(Вводные!$B$28*SUM($AA$26:$AL$26),Вводные!$B$27*(MAX(0,$AL$36)-MAX(0,$Z$36)))/12</f>
        <v>182072.631007709</v>
      </c>
      <c r="AK37" s="9" t="n">
        <f aca="false">MAX(Вводные!$B$28*SUM($AA$26:$AL$26),Вводные!$B$27*(MAX(0,$AL$36)-MAX(0,$Z$36)))/12</f>
        <v>182072.631007709</v>
      </c>
      <c r="AL37" s="9" t="n">
        <f aca="false">MAX(Вводные!$B$28*SUM($AA$26:$AL$26),Вводные!$B$27*(MAX(0,$AL$36)-MAX(0,$Z$36)))/12</f>
        <v>182072.631007709</v>
      </c>
    </row>
    <row r="38" customFormat="false" ht="15" hidden="false" customHeight="true" outlineLevel="0" collapsed="false">
      <c r="A38" s="8" t="s">
        <v>267</v>
      </c>
      <c r="B38" s="9" t="n">
        <f aca="false">B33+B37</f>
        <v>3085641</v>
      </c>
      <c r="C38" s="9" t="n">
        <f aca="false">C33+C37</f>
        <v>540133.034329869</v>
      </c>
      <c r="D38" s="9" t="n">
        <f aca="false">D33+D37</f>
        <v>602775.706197007</v>
      </c>
      <c r="E38" s="9" t="n">
        <f aca="false">E33+E37</f>
        <v>664990.370482362</v>
      </c>
      <c r="F38" s="9" t="n">
        <f aca="false">F33+F37</f>
        <v>671679.472832564</v>
      </c>
      <c r="G38" s="9" t="n">
        <f aca="false">G33+G37</f>
        <v>677959.962795688</v>
      </c>
      <c r="H38" s="9" t="n">
        <f aca="false">H33+H37</f>
        <v>683867.802630574</v>
      </c>
      <c r="I38" s="9" t="n">
        <f aca="false">I33+I37</f>
        <v>689520.759100345</v>
      </c>
      <c r="J38" s="9" t="n">
        <f aca="false">J33+J37</f>
        <v>694935.466408873</v>
      </c>
      <c r="K38" s="9" t="n">
        <f aca="false">K33+K37</f>
        <v>700117.334628809</v>
      </c>
      <c r="L38" s="9" t="n">
        <f aca="false">L33+L37</f>
        <v>705069.780459129</v>
      </c>
      <c r="M38" s="9" t="n">
        <f aca="false">M33+M37</f>
        <v>709796.960534705</v>
      </c>
      <c r="N38" s="9" t="n">
        <f aca="false">N33+N37</f>
        <v>721023.698333564</v>
      </c>
      <c r="O38" s="9" t="n">
        <f aca="false">O33+O37</f>
        <v>742594.488886918</v>
      </c>
      <c r="P38" s="9" t="n">
        <f aca="false">P33+P37</f>
        <v>754925.391605573</v>
      </c>
      <c r="Q38" s="9" t="n">
        <f aca="false">Q33+Q37</f>
        <v>767206.903606886</v>
      </c>
      <c r="R38" s="9" t="n">
        <f aca="false">R33+R37</f>
        <v>779481.238661129</v>
      </c>
      <c r="S38" s="9" t="n">
        <f aca="false">S33+S37</f>
        <v>791777.49517189</v>
      </c>
      <c r="T38" s="9" t="n">
        <f aca="false">T33+T37</f>
        <v>804114.845753092</v>
      </c>
      <c r="U38" s="9" t="n">
        <f aca="false">U33+U37</f>
        <v>816505.388056451</v>
      </c>
      <c r="V38" s="9" t="n">
        <f aca="false">V33+V37</f>
        <v>828956.133718894</v>
      </c>
      <c r="W38" s="9" t="n">
        <f aca="false">W33+W37</f>
        <v>841470.434539253</v>
      </c>
      <c r="X38" s="9" t="n">
        <f aca="false">X33+X37</f>
        <v>854049.01765005</v>
      </c>
      <c r="Y38" s="9" t="n">
        <f aca="false">Y33+Y37</f>
        <v>866690.74352156</v>
      </c>
      <c r="Z38" s="9" t="n">
        <f aca="false">Z33+Z37</f>
        <v>879393.164097489</v>
      </c>
      <c r="AA38" s="9" t="n">
        <f aca="false">AA33+AA37</f>
        <v>1057163.86548636</v>
      </c>
      <c r="AB38" s="9" t="n">
        <f aca="false">AB33+AB37</f>
        <v>1069817.37087227</v>
      </c>
      <c r="AC38" s="9" t="n">
        <f aca="false">AC33+AC37</f>
        <v>1082519.34872342</v>
      </c>
      <c r="AD38" s="9" t="n">
        <f aca="false">AD33+AD37</f>
        <v>1095265.36613769</v>
      </c>
      <c r="AE38" s="9" t="n">
        <f aca="false">AE33+AE37</f>
        <v>1108050.90189094</v>
      </c>
      <c r="AF38" s="9" t="n">
        <f aca="false">AF33+AF37</f>
        <v>1120871.4312479</v>
      </c>
      <c r="AG38" s="9" t="n">
        <f aca="false">AG33+AG37</f>
        <v>1133722.48570282</v>
      </c>
      <c r="AH38" s="9" t="n">
        <f aca="false">AH33+AH37</f>
        <v>1146599.69397771</v>
      </c>
      <c r="AI38" s="9" t="n">
        <f aca="false">AI33+AI37</f>
        <v>1159498.80907839</v>
      </c>
      <c r="AJ38" s="9" t="n">
        <f aca="false">AJ33+AJ37</f>
        <v>1172415.72505475</v>
      </c>
      <c r="AK38" s="9" t="n">
        <f aca="false">AK33+AK37</f>
        <v>1185346.48623413</v>
      </c>
      <c r="AL38" s="9" t="n">
        <f aca="false">AL33+AL37</f>
        <v>1198287.29102615</v>
      </c>
    </row>
    <row r="40" customFormat="false" ht="15" hidden="false" customHeight="true" outlineLevel="0" collapsed="false">
      <c r="A40" s="5" t="s">
        <v>268</v>
      </c>
      <c r="B40" s="6" t="n">
        <f aca="false">B35-B37</f>
        <v>-3085641</v>
      </c>
      <c r="C40" s="6" t="n">
        <f aca="false">C35-C37</f>
        <v>-516655.792666293</v>
      </c>
      <c r="D40" s="6" t="n">
        <f aca="false">D35-D37</f>
        <v>-531817.164135908</v>
      </c>
      <c r="E40" s="6" t="n">
        <f aca="false">E35-E37</f>
        <v>-543697.185163248</v>
      </c>
      <c r="F40" s="6" t="n">
        <f aca="false">F35-F37</f>
        <v>-452940.947253026</v>
      </c>
      <c r="G40" s="6" t="n">
        <f aca="false">G35-G37</f>
        <v>-376342.700981311</v>
      </c>
      <c r="H40" s="6" t="n">
        <f aca="false">H35-H37</f>
        <v>-299993.613929386</v>
      </c>
      <c r="I40" s="6" t="n">
        <f aca="false">I35-I37</f>
        <v>-224128.821068821</v>
      </c>
      <c r="J40" s="6" t="n">
        <f aca="false">J35-J37</f>
        <v>-149084.903325896</v>
      </c>
      <c r="K40" s="6" t="n">
        <f aca="false">K35-K37</f>
        <v>-75201.9752519532</v>
      </c>
      <c r="L40" s="6" t="n">
        <f aca="false">L35-L37</f>
        <v>-2767.88168858185</v>
      </c>
      <c r="M40" s="6" t="n">
        <f aca="false">M35-M37</f>
        <v>67990.8412036911</v>
      </c>
      <c r="N40" s="6" t="n">
        <f aca="false">N35-N37</f>
        <v>130185.511712139</v>
      </c>
      <c r="O40" s="6" t="n">
        <f aca="false">O35-O37</f>
        <v>181555.37699082</v>
      </c>
      <c r="P40" s="6" t="n">
        <f aca="false">P35-P37</f>
        <v>242243.376601926</v>
      </c>
      <c r="Q40" s="6" t="n">
        <f aca="false">Q35-Q37</f>
        <v>303263.795187895</v>
      </c>
      <c r="R40" s="6" t="n">
        <f aca="false">R35-R37</f>
        <v>364709.757253261</v>
      </c>
      <c r="S40" s="6" t="n">
        <f aca="false">S35-S37</f>
        <v>426632.613399997</v>
      </c>
      <c r="T40" s="6" t="n">
        <f aca="false">T35-T37</f>
        <v>489054.674690428</v>
      </c>
      <c r="U40" s="6" t="n">
        <f aca="false">U35-U37</f>
        <v>551977.61909855</v>
      </c>
      <c r="V40" s="6" t="n">
        <f aca="false">V35-V37</f>
        <v>615388.705827038</v>
      </c>
      <c r="W40" s="6" t="n">
        <f aca="false">W35-W37</f>
        <v>679265.377279406</v>
      </c>
      <c r="X40" s="6" t="n">
        <f aca="false">X35-X37</f>
        <v>743578.672075126</v>
      </c>
      <c r="Y40" s="6" t="n">
        <f aca="false">Y35-Y37</f>
        <v>808295.748231116</v>
      </c>
      <c r="Z40" s="6" t="n">
        <f aca="false">Z35-Z37</f>
        <v>873381.73388762</v>
      </c>
      <c r="AA40" s="6" t="n">
        <f aca="false">AA35-AA37</f>
        <v>686601.850538887</v>
      </c>
      <c r="AB40" s="6" t="n">
        <f aca="false">AB35-AB37</f>
        <v>748739.357419512</v>
      </c>
      <c r="AC40" s="6" t="n">
        <f aca="false">AC35-AC37</f>
        <v>811126.265254365</v>
      </c>
      <c r="AD40" s="6" t="n">
        <f aca="false">AD35-AD37</f>
        <v>873731.244522941</v>
      </c>
      <c r="AE40" s="6" t="n">
        <f aca="false">AE35-AE37</f>
        <v>936524.50481438</v>
      </c>
      <c r="AF40" s="6" t="n">
        <f aca="false">AF35-AF37</f>
        <v>999477.923184935</v>
      </c>
      <c r="AG40" s="6" t="n">
        <f aca="false">AG35-AG37</f>
        <v>1062565.0873031</v>
      </c>
      <c r="AH40" s="6" t="n">
        <f aca="false">AH35-AH37</f>
        <v>1125761.27811024</v>
      </c>
      <c r="AI40" s="6" t="n">
        <f aca="false">AI35-AI37</f>
        <v>1189043.41102715</v>
      </c>
      <c r="AJ40" s="6" t="n">
        <f aca="false">AJ35-AJ37</f>
        <v>1252389.95021602</v>
      </c>
      <c r="AK40" s="6" t="n">
        <f aca="false">AK35-AK37</f>
        <v>1315780.8068244</v>
      </c>
      <c r="AL40" s="6" t="n">
        <f aca="false">AL35-AL37</f>
        <v>1379197.22930827</v>
      </c>
    </row>
    <row r="41" customFormat="false" ht="15" hidden="false" customHeight="true" outlineLevel="0" collapsed="false">
      <c r="A41" s="5" t="s">
        <v>43</v>
      </c>
      <c r="B41" s="6" t="n">
        <f aca="false">B40</f>
        <v>-3085641</v>
      </c>
      <c r="C41" s="6" t="n">
        <f aca="false">B41+C40</f>
        <v>-3602296.79266629</v>
      </c>
      <c r="D41" s="6" t="n">
        <f aca="false">C41+D40</f>
        <v>-4134113.9568022</v>
      </c>
      <c r="E41" s="6" t="n">
        <f aca="false">D41+E40</f>
        <v>-4677811.14196545</v>
      </c>
      <c r="F41" s="6" t="n">
        <f aca="false">E41+F40</f>
        <v>-5130752.08921847</v>
      </c>
      <c r="G41" s="6" t="n">
        <f aca="false">F41+G40</f>
        <v>-5507094.79019979</v>
      </c>
      <c r="H41" s="6" t="n">
        <f aca="false">G41+H40</f>
        <v>-5807088.40412917</v>
      </c>
      <c r="I41" s="6" t="n">
        <f aca="false">H41+I40</f>
        <v>-6031217.22519799</v>
      </c>
      <c r="J41" s="6" t="n">
        <f aca="false">I41+J40</f>
        <v>-6180302.12852389</v>
      </c>
      <c r="K41" s="6" t="n">
        <f aca="false">J41+K40</f>
        <v>-6255504.10377584</v>
      </c>
      <c r="L41" s="6" t="n">
        <f aca="false">K41+L40</f>
        <v>-6258271.98546443</v>
      </c>
      <c r="M41" s="6" t="n">
        <f aca="false">L41+M40</f>
        <v>-6190281.14426073</v>
      </c>
      <c r="N41" s="6" t="n">
        <f aca="false">M41+N40</f>
        <v>-6060095.6325486</v>
      </c>
      <c r="O41" s="6" t="n">
        <f aca="false">N41+O40</f>
        <v>-5878540.25555778</v>
      </c>
      <c r="P41" s="6" t="n">
        <f aca="false">O41+P40</f>
        <v>-5636296.87895585</v>
      </c>
      <c r="Q41" s="6" t="n">
        <f aca="false">P41+Q40</f>
        <v>-5333033.08376795</v>
      </c>
      <c r="R41" s="6" t="n">
        <f aca="false">Q41+R40</f>
        <v>-4968323.32651469</v>
      </c>
      <c r="S41" s="6" t="n">
        <f aca="false">R41+S40</f>
        <v>-4541690.7131147</v>
      </c>
      <c r="T41" s="6" t="n">
        <f aca="false">S41+T40</f>
        <v>-4052636.03842427</v>
      </c>
      <c r="U41" s="6" t="n">
        <f aca="false">T41+U40</f>
        <v>-3500658.41932572</v>
      </c>
      <c r="V41" s="6" t="n">
        <f aca="false">U41+V40</f>
        <v>-2885269.71349868</v>
      </c>
      <c r="W41" s="6" t="n">
        <f aca="false">V41+W40</f>
        <v>-2206004.33621927</v>
      </c>
      <c r="X41" s="6" t="n">
        <f aca="false">W41+X40</f>
        <v>-1462425.66414415</v>
      </c>
      <c r="Y41" s="6" t="n">
        <f aca="false">X41+Y40</f>
        <v>-654129.91591303</v>
      </c>
      <c r="Z41" s="6" t="n">
        <f aca="false">Y41+Z40</f>
        <v>219251.81797459</v>
      </c>
      <c r="AA41" s="6" t="n">
        <f aca="false">Z41+AA40</f>
        <v>905853.668513477</v>
      </c>
      <c r="AB41" s="6" t="n">
        <f aca="false">AA41+AB40</f>
        <v>1654593.02593299</v>
      </c>
      <c r="AC41" s="6" t="n">
        <f aca="false">AB41+AC40</f>
        <v>2465719.29118735</v>
      </c>
      <c r="AD41" s="6" t="n">
        <f aca="false">AC41+AD40</f>
        <v>3339450.53571029</v>
      </c>
      <c r="AE41" s="6" t="n">
        <f aca="false">AD41+AE40</f>
        <v>4275975.04052468</v>
      </c>
      <c r="AF41" s="6" t="n">
        <f aca="false">AE41+AF40</f>
        <v>5275452.96370961</v>
      </c>
      <c r="AG41" s="6" t="n">
        <f aca="false">AF41+AG40</f>
        <v>6338018.05101271</v>
      </c>
      <c r="AH41" s="6" t="n">
        <f aca="false">AG41+AH40</f>
        <v>7463779.32912295</v>
      </c>
      <c r="AI41" s="6" t="n">
        <f aca="false">AH41+AI40</f>
        <v>8652822.74015009</v>
      </c>
      <c r="AJ41" s="6" t="n">
        <f aca="false">AI41+AJ40</f>
        <v>9905212.69036611</v>
      </c>
      <c r="AK41" s="6" t="n">
        <f aca="false">AJ41+AK40</f>
        <v>11220993.4971905</v>
      </c>
      <c r="AL41" s="6" t="n">
        <f aca="false">AK41+AL40</f>
        <v>12600190.7264988</v>
      </c>
    </row>
    <row r="43" customFormat="false" ht="14.25" hidden="false" customHeight="false" outlineLevel="0" collapsed="false">
      <c r="A43" s="3" t="s">
        <v>154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customFormat="false" ht="14.25" hidden="false" customHeight="false" outlineLevel="0" collapsed="false">
      <c r="A44" s="1" t="s">
        <v>269</v>
      </c>
      <c r="B44" s="26" t="n">
        <v>1</v>
      </c>
      <c r="C44" s="26" t="n">
        <f aca="false">MAX(0,1-B10/Вводные!$B$51)</f>
        <v>1</v>
      </c>
      <c r="D44" s="26" t="n">
        <f aca="false">MAX(0,1-C10/Вводные!$B$51)</f>
        <v>0.999131341189789</v>
      </c>
      <c r="E44" s="26" t="n">
        <f aca="false">MAX(0,1-D10/Вводные!$B$51)</f>
        <v>0.997374531318271</v>
      </c>
      <c r="F44" s="26" t="n">
        <f aca="false">MAX(0,1-E10/Вводные!$B$51)</f>
        <v>0.995512147655341</v>
      </c>
      <c r="G44" s="26" t="n">
        <f aca="false">MAX(0,1-F10/Вводные!$B$51)</f>
        <v>0.992789578752491</v>
      </c>
      <c r="H44" s="26" t="n">
        <f aca="false">MAX(0,1-G10/Вводные!$B$51)</f>
        <v>0.990332098479008</v>
      </c>
      <c r="I44" s="26" t="n">
        <f aca="false">MAX(0,1-H10/Вводные!$B$51)</f>
        <v>0.987974716151006</v>
      </c>
      <c r="J44" s="26" t="n">
        <f aca="false">MAX(0,1-I10/Вводные!$B$51)</f>
        <v>0.985697370721528</v>
      </c>
      <c r="K44" s="26" t="n">
        <f aca="false">MAX(0,1-J10/Вводные!$B$51)</f>
        <v>0.983492648141317</v>
      </c>
      <c r="L44" s="26" t="n">
        <f aca="false">MAX(0,1-K10/Вводные!$B$51)</f>
        <v>0.981357741763865</v>
      </c>
      <c r="M44" s="26" t="n">
        <f aca="false">MAX(0,1-L10/Вводные!$B$51)</f>
        <v>0.979291383602565</v>
      </c>
      <c r="N44" s="26" t="n">
        <f aca="false">MAX(0,1-M10/Вводные!$B$51)</f>
        <v>0.977292778483058</v>
      </c>
      <c r="O44" s="26" t="n">
        <f aca="false">MAX(0,1-N10/Вводные!$B$51)</f>
        <v>0.975361189310457</v>
      </c>
      <c r="P44" s="26" t="n">
        <f aca="false">MAX(0,1-O10/Вводные!$B$51)</f>
        <v>0.97345142832217</v>
      </c>
      <c r="Q44" s="26" t="n">
        <f aca="false">MAX(0,1-P10/Вводные!$B$51)</f>
        <v>0.971546472192654</v>
      </c>
      <c r="R44" s="26" t="n">
        <f aca="false">MAX(0,1-Q10/Вводные!$B$51)</f>
        <v>0.969639128673003</v>
      </c>
      <c r="S44" s="26" t="n">
        <f aca="false">MAX(0,1-R10/Вводные!$B$51)</f>
        <v>0.96772436737769</v>
      </c>
      <c r="T44" s="26" t="n">
        <f aca="false">MAX(0,1-S10/Вводные!$B$51)</f>
        <v>0.96579884282705</v>
      </c>
      <c r="U44" s="26" t="n">
        <f aca="false">MAX(0,1-T10/Вводные!$B$51)</f>
        <v>0.963860420670617</v>
      </c>
      <c r="V44" s="26" t="n">
        <f aca="false">MAX(0,1-U10/Вводные!$B$51)</f>
        <v>0.961907848079502</v>
      </c>
      <c r="W44" s="26" t="n">
        <f aca="false">MAX(0,1-V10/Вводные!$B$51)</f>
        <v>0.959940516438974</v>
      </c>
      <c r="X44" s="26" t="n">
        <f aca="false">MAX(0,1-W10/Вводные!$B$51)</f>
        <v>0.957958287839699</v>
      </c>
      <c r="Y44" s="26" t="n">
        <f aca="false">MAX(0,1-X10/Вводные!$B$51)</f>
        <v>0.955961366652878</v>
      </c>
      <c r="Z44" s="26" t="n">
        <f aca="false">MAX(0,1-Y10/Вводные!$B$51)</f>
        <v>0.953950203613195</v>
      </c>
      <c r="AA44" s="26" t="n">
        <f aca="false">MAX(0,1-Z10/Вводные!$B$51)</f>
        <v>0.951925423737182</v>
      </c>
      <c r="AB44" s="26" t="n">
        <f aca="false">MAX(0,1-AA10/Вводные!$B$51)</f>
        <v>0.949887771961879</v>
      </c>
      <c r="AC44" s="26" t="n">
        <f aca="false">MAX(0,1-AB10/Вводные!$B$51)</f>
        <v>0.947838072106686</v>
      </c>
      <c r="AD44" s="26" t="n">
        <f aca="false">MAX(0,1-AC10/Вводные!$B$51)</f>
        <v>0.945777195941748</v>
      </c>
      <c r="AE44" s="26" t="n">
        <f aca="false">MAX(0,1-AD10/Вводные!$B$51)</f>
        <v>0.943706039974139</v>
      </c>
      <c r="AF44" s="26" t="n">
        <f aca="false">MAX(0,1-AE10/Вводные!$B$51)</f>
        <v>0.941625508154895</v>
      </c>
      <c r="AG44" s="26" t="n">
        <f aca="false">MAX(0,1-AF10/Вводные!$B$51)</f>
        <v>0.939536499140323</v>
      </c>
      <c r="AH44" s="26" t="n">
        <f aca="false">MAX(0,1-AG10/Вводные!$B$51)</f>
        <v>0.937439897059152</v>
      </c>
      <c r="AI44" s="26" t="n">
        <f aca="false">MAX(0,1-AH10/Вводные!$B$51)</f>
        <v>0.935336564975559</v>
      </c>
      <c r="AJ44" s="26" t="n">
        <f aca="false">MAX(0,1-AI10/Вводные!$B$51)</f>
        <v>0.933227340419261</v>
      </c>
      <c r="AK44" s="26" t="n">
        <f aca="false">MAX(0,1-AJ10/Вводные!$B$51)</f>
        <v>0.931113032492823</v>
      </c>
      <c r="AL44" s="26" t="n">
        <f aca="false">MAX(0,1-AK10/Вводные!$B$51)</f>
        <v>0.928994420174042</v>
      </c>
    </row>
    <row r="45" customFormat="false" ht="14.25" hidden="false" customHeight="false" outlineLevel="0" collapsed="false">
      <c r="A45" s="1" t="s">
        <v>270</v>
      </c>
      <c r="B45" s="27" t="n">
        <v>1</v>
      </c>
      <c r="C45" s="27" t="n">
        <f aca="false">MAX(0,1-B18/Вводные!$B$52)</f>
        <v>1</v>
      </c>
      <c r="D45" s="27" t="n">
        <f aca="false">MAX(0,1-C18/Вводные!$B$52)</f>
        <v>0.999876685195303</v>
      </c>
      <c r="E45" s="27" t="n">
        <f aca="false">MAX(0,1-D18/Вводные!$B$52)</f>
        <v>0.999634104567261</v>
      </c>
      <c r="F45" s="27" t="n">
        <f aca="false">MAX(0,1-E18/Вводные!$B$52)</f>
        <v>0.999390163530975</v>
      </c>
      <c r="G45" s="27" t="n">
        <f aca="false">MAX(0,1-F18/Вводные!$B$52)</f>
        <v>0.998979674945601</v>
      </c>
      <c r="H45" s="27" t="n">
        <f aca="false">MAX(0,1-G18/Вводные!$B$52)</f>
        <v>0.998633498741013</v>
      </c>
      <c r="I45" s="27" t="n">
        <f aca="false">MAX(0,1-H18/Вводные!$B$52)</f>
        <v>0.99832385436033</v>
      </c>
      <c r="J45" s="27" t="n">
        <f aca="false">MAX(0,1-I18/Вводные!$B$52)</f>
        <v>0.998044811341872</v>
      </c>
      <c r="K45" s="27" t="n">
        <f aca="false">MAX(0,1-J18/Вводные!$B$52)</f>
        <v>0.997792675030823</v>
      </c>
      <c r="L45" s="27" t="n">
        <f aca="false">MAX(0,1-K18/Вводные!$B$52)</f>
        <v>0.997564729500799</v>
      </c>
      <c r="M45" s="27" t="n">
        <f aca="false">MAX(0,1-L18/Вводные!$B$52)</f>
        <v>0.997358738149776</v>
      </c>
      <c r="N45" s="27" t="n">
        <f aca="false">MAX(0,1-M18/Вводные!$B$52)</f>
        <v>0.99717275238742</v>
      </c>
      <c r="O45" s="27" t="n">
        <f aca="false">MAX(0,1-N18/Вводные!$B$52)</f>
        <v>0.997005024059222</v>
      </c>
      <c r="P45" s="27" t="n">
        <f aca="false">MAX(0,1-O18/Вводные!$B$52)</f>
        <v>0.99684399261395</v>
      </c>
      <c r="Q45" s="27" t="n">
        <f aca="false">MAX(0,1-P18/Вводные!$B$52)</f>
        <v>0.996686402085797</v>
      </c>
      <c r="R45" s="27" t="n">
        <f aca="false">MAX(0,1-Q18/Вводные!$B$52)</f>
        <v>0.996531427956422</v>
      </c>
      <c r="S45" s="27" t="n">
        <f aca="false">MAX(0,1-R18/Вводные!$B$52)</f>
        <v>0.996378465235922</v>
      </c>
      <c r="T45" s="27" t="n">
        <f aca="false">MAX(0,1-S18/Вводные!$B$52)</f>
        <v>0.99622709656696</v>
      </c>
      <c r="U45" s="27" t="n">
        <f aca="false">MAX(0,1-T18/Вводные!$B$52)</f>
        <v>0.996077035719458</v>
      </c>
      <c r="V45" s="27" t="n">
        <f aca="false">MAX(0,1-U18/Вводные!$B$52)</f>
        <v>0.995928089504319</v>
      </c>
      <c r="W45" s="27" t="n">
        <f aca="false">MAX(0,1-V18/Вводные!$B$52)</f>
        <v>0.995780130826326</v>
      </c>
      <c r="X45" s="27" t="n">
        <f aca="false">MAX(0,1-W18/Вводные!$B$52)</f>
        <v>0.995633079369068</v>
      </c>
      <c r="Y45" s="27" t="n">
        <f aca="false">MAX(0,1-X18/Вводные!$B$52)</f>
        <v>0.995486887616837</v>
      </c>
      <c r="Z45" s="27" t="n">
        <f aca="false">MAX(0,1-Y18/Вводные!$B$52)</f>
        <v>0.995341530684608</v>
      </c>
      <c r="AA45" s="27" t="n">
        <f aca="false">MAX(0,1-Z18/Вводные!$B$52)</f>
        <v>0.995196998908772</v>
      </c>
      <c r="AB45" s="27" t="n">
        <f aca="false">MAX(0,1-AA18/Вводные!$B$52)</f>
        <v>0.995053292463937</v>
      </c>
      <c r="AC45" s="27" t="n">
        <f aca="false">MAX(0,1-AB18/Вводные!$B$52)</f>
        <v>0.9949104174797</v>
      </c>
      <c r="AD45" s="27" t="n">
        <f aca="false">MAX(0,1-AC18/Вводные!$B$52)</f>
        <v>0.994768383273991</v>
      </c>
      <c r="AE45" s="27" t="n">
        <f aca="false">MAX(0,1-AD18/Вводные!$B$52)</f>
        <v>0.994627200419415</v>
      </c>
      <c r="AF45" s="27" t="n">
        <f aca="false">MAX(0,1-AE18/Вводные!$B$52)</f>
        <v>0.9944868794304</v>
      </c>
      <c r="AG45" s="27" t="n">
        <f aca="false">MAX(0,1-AF18/Вводные!$B$52)</f>
        <v>0.994347429910916</v>
      </c>
      <c r="AH45" s="27" t="n">
        <f aca="false">MAX(0,1-AG18/Вводные!$B$52)</f>
        <v>0.99420886004107</v>
      </c>
      <c r="AI45" s="27" t="n">
        <f aca="false">MAX(0,1-AH18/Вводные!$B$52)</f>
        <v>0.994071176309833</v>
      </c>
      <c r="AJ45" s="27" t="n">
        <f aca="false">MAX(0,1-AI18/Вводные!$B$52)</f>
        <v>0.993934383423201</v>
      </c>
      <c r="AK45" s="27" t="n">
        <f aca="false">MAX(0,1-AJ18/Вводные!$B$52)</f>
        <v>0.993798484334042</v>
      </c>
      <c r="AL45" s="27" t="n">
        <f aca="false">MAX(0,1-AK18/Вводные!$B$52)</f>
        <v>0.993663480352926</v>
      </c>
    </row>
    <row r="46" customFormat="false" ht="14.25" hidden="false" customHeight="false" outlineLevel="0" collapsed="false">
      <c r="A46" s="8" t="s">
        <v>271</v>
      </c>
      <c r="B46" s="9" t="n">
        <f aca="false">IFERROR(Маркетинг!B15/B5,0)</f>
        <v>0</v>
      </c>
      <c r="C46" s="9" t="n">
        <f aca="false">IFERROR(Маркетинг!C15/C5,0)</f>
        <v>1423.29497849522</v>
      </c>
      <c r="D46" s="9" t="n">
        <f aca="false">IFERROR(Маркетинг!D15/D5,0)</f>
        <v>1618.45613745375</v>
      </c>
      <c r="E46" s="9" t="n">
        <f aca="false">IFERROR(Маркетинг!E15/E5,0)</f>
        <v>1324.99068446845</v>
      </c>
      <c r="F46" s="9" t="n">
        <f aca="false">IFERROR(Маркетинг!F15/F5,0)</f>
        <v>1288.67301839169</v>
      </c>
      <c r="G46" s="9" t="n">
        <f aca="false">IFERROR(Маркетинг!G15/G5,0)</f>
        <v>1242.0024293744</v>
      </c>
      <c r="H46" s="9" t="n">
        <f aca="false">IFERROR(Маркетинг!H15/H5,0)</f>
        <v>1205.65314677353</v>
      </c>
      <c r="I46" s="9" t="n">
        <f aca="false">IFERROR(Маркетинг!I15/I5,0)</f>
        <v>1175.28666079815</v>
      </c>
      <c r="J46" s="9" t="n">
        <f aca="false">IFERROR(Маркетинг!J15/J5,0)</f>
        <v>1149.6401949478</v>
      </c>
      <c r="K46" s="9" t="n">
        <f aca="false">IFERROR(Маркетинг!K15/K5,0)</f>
        <v>1127.86878356655</v>
      </c>
      <c r="L46" s="9" t="n">
        <f aca="false">IFERROR(Маркетинг!L15/L5,0)</f>
        <v>1109.33425399048</v>
      </c>
      <c r="M46" s="9" t="n">
        <f aca="false">IFERROR(Маркетинг!M15/M5,0)</f>
        <v>1093.5244539419</v>
      </c>
      <c r="N46" s="9" t="n">
        <f aca="false">IFERROR(Маркетинг!N15/N5,0)</f>
        <v>1080.01772009294</v>
      </c>
      <c r="O46" s="9" t="n">
        <f aca="false">IFERROR(Маркетинг!O15/O5,0)</f>
        <v>1068.46276902267</v>
      </c>
      <c r="P46" s="9" t="n">
        <f aca="false">IFERROR(Маркетинг!P15/P5,0)</f>
        <v>1058.34399874871</v>
      </c>
      <c r="Q46" s="9" t="n">
        <f aca="false">IFERROR(Маркетинг!Q15/Q5,0)</f>
        <v>1049.41849094748</v>
      </c>
      <c r="R46" s="9" t="n">
        <f aca="false">IFERROR(Маркетинг!R15/R5,0)</f>
        <v>1041.53749150762</v>
      </c>
      <c r="S46" s="9" t="n">
        <f aca="false">IFERROR(Маркетинг!S15/S5,0)</f>
        <v>1034.58577205838</v>
      </c>
      <c r="T46" s="9" t="n">
        <f aca="false">IFERROR(Маркетинг!T15/T5,0)</f>
        <v>1028.4710052806</v>
      </c>
      <c r="U46" s="9" t="n">
        <f aca="false">IFERROR(Маркетинг!U15/U5,0)</f>
        <v>1023.11636313937</v>
      </c>
      <c r="V46" s="9" t="n">
        <f aca="false">IFERROR(Маркетинг!V15/V5,0)</f>
        <v>1018.45582607244</v>
      </c>
      <c r="W46" s="9" t="n">
        <f aca="false">IFERROR(Маркетинг!W15/W5,0)</f>
        <v>1014.43117201679</v>
      </c>
      <c r="X46" s="9" t="n">
        <f aca="false">IFERROR(Маркетинг!X15/X5,0)</f>
        <v>1010.9900358359</v>
      </c>
      <c r="Y46" s="9" t="n">
        <f aca="false">IFERROR(Маркетинг!Y15/Y5,0)</f>
        <v>1008.08465610694</v>
      </c>
      <c r="Z46" s="9" t="n">
        <f aca="false">IFERROR(Маркетинг!Z15/Z5,0)</f>
        <v>1005.67106380876</v>
      </c>
      <c r="AA46" s="9" t="n">
        <f aca="false">IFERROR(Маркетинг!AA15/AA5,0)</f>
        <v>1003.70855345962</v>
      </c>
      <c r="AB46" s="9" t="n">
        <f aca="false">IFERROR(Маркетинг!AB15/AB5,0)</f>
        <v>1002.15933241657</v>
      </c>
      <c r="AC46" s="9" t="n">
        <f aca="false">IFERROR(Маркетинг!AC15/AC5,0)</f>
        <v>1000.98828011573</v>
      </c>
      <c r="AD46" s="9" t="n">
        <f aca="false">IFERROR(Маркетинг!AD15/AD5,0)</f>
        <v>1000.16277293056</v>
      </c>
      <c r="AE46" s="9" t="n">
        <f aca="false">IFERROR(Маркетинг!AE15/AE5,0)</f>
        <v>999.652546276561</v>
      </c>
      <c r="AF46" s="9" t="n">
        <f aca="false">IFERROR(Маркетинг!AF15/AF5,0)</f>
        <v>999.429576255088</v>
      </c>
      <c r="AG46" s="9" t="n">
        <f aca="false">IFERROR(Маркетинг!AG15/AG5,0)</f>
        <v>999.467970225514</v>
      </c>
      <c r="AH46" s="9" t="n">
        <f aca="false">IFERROR(Маркетинг!AH15/AH5,0)</f>
        <v>999.743860364355</v>
      </c>
      <c r="AI46" s="9" t="n">
        <f aca="false">IFERROR(Маркетинг!AI15/AI5,0)</f>
        <v>1000.2352972818</v>
      </c>
      <c r="AJ46" s="9" t="n">
        <f aca="false">IFERROR(Маркетинг!AJ15/AJ5,0)</f>
        <v>1000.92214264874</v>
      </c>
      <c r="AK46" s="9" t="n">
        <f aca="false">IFERROR(Маркетинг!AK15/AK5,0)</f>
        <v>1001.78596090621</v>
      </c>
      <c r="AL46" s="9" t="n">
        <f aca="false">IFERROR(Маркетинг!AL15/AL5,0)</f>
        <v>1002.8099107386</v>
      </c>
    </row>
    <row r="47" customFormat="false" ht="14.25" hidden="false" customHeight="false" outlineLevel="0" collapsed="false">
      <c r="A47" s="1" t="s">
        <v>272</v>
      </c>
      <c r="B47" s="26" t="n">
        <f aca="false">1/(1+Вводные!$B$56)</f>
        <v>0.666666666666667</v>
      </c>
      <c r="C47" s="26" t="n">
        <f aca="false">1/(1+Вводные!$B$56*EXP(-B10/Вводные!$B$57))</f>
        <v>0.666666666666667</v>
      </c>
      <c r="D47" s="26" t="n">
        <f aca="false">1/(1+Вводные!$B$56*EXP(-C10/Вводные!$B$57))</f>
        <v>0.67712178815403</v>
      </c>
      <c r="E47" s="26" t="n">
        <f aca="false">1/(1+Вводные!$B$56*EXP(-D10/Вводные!$B$57))</f>
        <v>0.69772709371556</v>
      </c>
      <c r="F47" s="26" t="n">
        <f aca="false">1/(1+Вводные!$B$56*EXP(-E10/Вводные!$B$57))</f>
        <v>0.718732671508071</v>
      </c>
      <c r="G47" s="26" t="n">
        <f aca="false">1/(1+Вводные!$B$56*EXP(-F10/Вводные!$B$57))</f>
        <v>0.747785485753095</v>
      </c>
      <c r="H47" s="26" t="n">
        <f aca="false">1/(1+Вводные!$B$56*EXP(-G10/Вводные!$B$57))</f>
        <v>0.77224205152684</v>
      </c>
      <c r="I47" s="26" t="n">
        <f aca="false">1/(1+Вводные!$B$56*EXP(-H10/Вводные!$B$57))</f>
        <v>0.794085103435618</v>
      </c>
      <c r="J47" s="26" t="n">
        <f aca="false">1/(1+Вводные!$B$56*EXP(-I10/Вводные!$B$57))</f>
        <v>0.813675329983013</v>
      </c>
      <c r="K47" s="26" t="n">
        <f aca="false">1/(1+Вводные!$B$56*EXP(-J10/Вводные!$B$57))</f>
        <v>0.831241068577543</v>
      </c>
      <c r="L47" s="26" t="n">
        <f aca="false">1/(1+Вводные!$B$56*EXP(-K10/Вводные!$B$57))</f>
        <v>0.846967820688643</v>
      </c>
      <c r="M47" s="26" t="n">
        <f aca="false">1/(1+Вводные!$B$56*EXP(-L10/Вводные!$B$57))</f>
        <v>0.861025976034225</v>
      </c>
      <c r="N47" s="26" t="n">
        <f aca="false">1/(1+Вводные!$B$56*EXP(-M10/Вводные!$B$57))</f>
        <v>0.873576848229072</v>
      </c>
      <c r="O47" s="26" t="n">
        <f aca="false">1/(1+Вводные!$B$56*EXP(-N10/Вводные!$B$57))</f>
        <v>0.88477292099683</v>
      </c>
      <c r="P47" s="26" t="n">
        <f aca="false">1/(1+Вводные!$B$56*EXP(-O10/Вводные!$B$57))</f>
        <v>0.894984570752716</v>
      </c>
      <c r="Q47" s="26" t="n">
        <f aca="false">1/(1+Вводные!$B$56*EXP(-P10/Вводные!$B$57))</f>
        <v>0.904366351010996</v>
      </c>
      <c r="R47" s="26" t="n">
        <f aca="false">1/(1+Вводные!$B$56*EXP(-Q10/Вводные!$B$57))</f>
        <v>0.913001826345487</v>
      </c>
      <c r="S47" s="26" t="n">
        <f aca="false">1/(1+Вводные!$B$56*EXP(-R10/Вводные!$B$57))</f>
        <v>0.920955207992066</v>
      </c>
      <c r="T47" s="26" t="n">
        <f aca="false">1/(1+Вводные!$B$56*EXP(-S10/Вводные!$B$57))</f>
        <v>0.928277776290122</v>
      </c>
      <c r="U47" s="26" t="n">
        <f aca="false">1/(1+Вводные!$B$56*EXP(-T10/Вводные!$B$57))</f>
        <v>0.935012697937082</v>
      </c>
      <c r="V47" s="26" t="n">
        <f aca="false">1/(1+Вводные!$B$56*EXP(-U10/Вводные!$B$57))</f>
        <v>0.941198055977807</v>
      </c>
      <c r="W47" s="26" t="n">
        <f aca="false">1/(1+Вводные!$B$56*EXP(-V10/Вводные!$B$57))</f>
        <v>0.946868738044711</v>
      </c>
      <c r="X47" s="26" t="n">
        <f aca="false">1/(1+Вводные!$B$56*EXP(-W10/Вводные!$B$57))</f>
        <v>0.952057573420668</v>
      </c>
      <c r="Y47" s="26" t="n">
        <f aca="false">1/(1+Вводные!$B$56*EXP(-X10/Вводные!$B$57))</f>
        <v>0.956795976945433</v>
      </c>
      <c r="Z47" s="26" t="n">
        <f aca="false">1/(1+Вводные!$B$56*EXP(-Y10/Вводные!$B$57))</f>
        <v>0.961114273709953</v>
      </c>
      <c r="AA47" s="26" t="n">
        <f aca="false">1/(1+Вводные!$B$56*EXP(-Z10/Вводные!$B$57))</f>
        <v>0.965041823281103</v>
      </c>
      <c r="AB47" s="26" t="n">
        <f aca="false">1/(1+Вводные!$B$56*EXP(-AA10/Вводные!$B$57))</f>
        <v>0.968607024712096</v>
      </c>
      <c r="AC47" s="26" t="n">
        <f aca="false">1/(1+Вводные!$B$56*EXP(-AB10/Вводные!$B$57))</f>
        <v>0.971837257503027</v>
      </c>
      <c r="AD47" s="26" t="n">
        <f aca="false">1/(1+Вводные!$B$56*EXP(-AC10/Вводные!$B$57))</f>
        <v>0.974758795238793</v>
      </c>
      <c r="AE47" s="26" t="n">
        <f aca="false">1/(1+Вводные!$B$56*EXP(-AD10/Вводные!$B$57))</f>
        <v>0.977396715525729</v>
      </c>
      <c r="AF47" s="26" t="n">
        <f aca="false">1/(1+Вводные!$B$56*EXP(-AE10/Вводные!$B$57))</f>
        <v>0.979774820561432</v>
      </c>
      <c r="AG47" s="26" t="n">
        <f aca="false">1/(1+Вводные!$B$56*EXP(-AF10/Вводные!$B$57))</f>
        <v>0.981915576170899</v>
      </c>
      <c r="AH47" s="26" t="n">
        <f aca="false">1/(1+Вводные!$B$56*EXP(-AG10/Вводные!$B$57))</f>
        <v>0.983840072689688</v>
      </c>
      <c r="AI47" s="26" t="n">
        <f aca="false">1/(1+Вводные!$B$56*EXP(-AH10/Вводные!$B$57))</f>
        <v>0.985568008128781</v>
      </c>
      <c r="AJ47" s="26" t="n">
        <f aca="false">1/(1+Вводные!$B$56*EXP(-AI10/Вводные!$B$57))</f>
        <v>0.987117692208108</v>
      </c>
      <c r="AK47" s="26" t="n">
        <f aca="false">1/(1+Вводные!$B$56*EXP(-AJ10/Вводные!$B$57))</f>
        <v>0.988506068786284</v>
      </c>
      <c r="AL47" s="26" t="n">
        <f aca="false">1/(1+Вводные!$B$56*EXP(-AK10/Вводные!$B$57))</f>
        <v>0.98974875370726</v>
      </c>
    </row>
    <row r="48" customFormat="false" ht="14.25" hidden="false" customHeight="false" outlineLevel="0" collapsed="false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customFormat="false" ht="14.25" hidden="false" customHeight="false" outlineLevel="0" collapsed="false">
      <c r="A49" s="3" t="s">
        <v>175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customFormat="false" ht="14.25" hidden="false" customHeight="false" outlineLevel="0" collapsed="false">
      <c r="A50" s="1" t="s">
        <v>273</v>
      </c>
      <c r="B50" s="26" t="n">
        <f aca="false">1</f>
        <v>1</v>
      </c>
      <c r="C50" s="26" t="n">
        <f aca="false">IF(Вводные!$B$66=1,MAX(1,B10/Вводные!$B$67),1)</f>
        <v>1</v>
      </c>
      <c r="D50" s="26" t="n">
        <f aca="false">IF(Вводные!$B$66=1,MAX(1,C10/Вводные!$B$67),1)</f>
        <v>1</v>
      </c>
      <c r="E50" s="26" t="n">
        <f aca="false">IF(Вводные!$B$66=1,MAX(1,D10/Вводные!$B$67),1)</f>
        <v>1</v>
      </c>
      <c r="F50" s="26" t="n">
        <f aca="false">IF(Вводные!$B$66=1,MAX(1,E10/Вводные!$B$67),1)</f>
        <v>1</v>
      </c>
      <c r="G50" s="26" t="n">
        <f aca="false">IF(Вводные!$B$66=1,MAX(1,F10/Вводные!$B$67),1)</f>
        <v>1</v>
      </c>
      <c r="H50" s="26" t="n">
        <f aca="false">IF(Вводные!$B$66=1,MAX(1,G10/Вводные!$B$67),1)</f>
        <v>1</v>
      </c>
      <c r="I50" s="26" t="n">
        <f aca="false">IF(Вводные!$B$66=1,MAX(1,H10/Вводные!$B$67),1)</f>
        <v>1</v>
      </c>
      <c r="J50" s="26" t="n">
        <f aca="false">IF(Вводные!$B$66=1,MAX(1,I10/Вводные!$B$67),1)</f>
        <v>1</v>
      </c>
      <c r="K50" s="26" t="n">
        <f aca="false">IF(Вводные!$B$66=1,MAX(1,J10/Вводные!$B$67),1)</f>
        <v>1</v>
      </c>
      <c r="L50" s="26" t="n">
        <f aca="false">IF(Вводные!$B$66=1,MAX(1,K10/Вводные!$B$67),1)</f>
        <v>1</v>
      </c>
      <c r="M50" s="26" t="n">
        <f aca="false">IF(Вводные!$B$66=1,MAX(1,L10/Вводные!$B$67),1)</f>
        <v>1</v>
      </c>
      <c r="N50" s="26" t="n">
        <f aca="false">IF(Вводные!$B$66=1,MAX(1,M10/Вводные!$B$67),1)</f>
        <v>1.07622768648007</v>
      </c>
      <c r="O50" s="26" t="n">
        <f aca="false">IF(Вводные!$B$66=1,MAX(1,N10/Вводные!$B$67),1)</f>
        <v>1.16777696497314</v>
      </c>
      <c r="P50" s="26" t="n">
        <f aca="false">IF(Вводные!$B$66=1,MAX(1,O10/Вводные!$B$67),1)</f>
        <v>1.25829167848048</v>
      </c>
      <c r="Q50" s="26" t="n">
        <f aca="false">IF(Вводные!$B$66=1,MAX(1,P10/Вводные!$B$67),1)</f>
        <v>1.34857866170232</v>
      </c>
      <c r="R50" s="26" t="n">
        <f aca="false">IF(Вводные!$B$66=1,MAX(1,Q10/Вводные!$B$67),1)</f>
        <v>1.43897879726914</v>
      </c>
      <c r="S50" s="26" t="n">
        <f aca="false">IF(Вводные!$B$66=1,MAX(1,R10/Вводные!$B$67),1)</f>
        <v>1.5297305044949</v>
      </c>
      <c r="T50" s="26" t="n">
        <f aca="false">IF(Вводные!$B$66=1,MAX(1,S10/Вводные!$B$67),1)</f>
        <v>1.62099234517625</v>
      </c>
      <c r="U50" s="26" t="n">
        <f aca="false">IF(Вводные!$B$66=1,MAX(1,T10/Вводные!$B$67),1)</f>
        <v>1.71286547863221</v>
      </c>
      <c r="V50" s="26" t="n">
        <f aca="false">IF(Вводные!$B$66=1,MAX(1,U10/Вводные!$B$67),1)</f>
        <v>1.80540928373195</v>
      </c>
      <c r="W50" s="26" t="n">
        <f aca="false">IF(Вводные!$B$66=1,MAX(1,V10/Вводные!$B$67),1)</f>
        <v>1.89865260627781</v>
      </c>
      <c r="X50" s="26" t="n">
        <f aca="false">IF(Вводные!$B$66=1,MAX(1,W10/Вводные!$B$67),1)</f>
        <v>1.9926019825976</v>
      </c>
      <c r="Y50" s="26" t="n">
        <f aca="false">IF(Вводные!$B$66=1,MAX(1,X10/Вводные!$B$67),1)</f>
        <v>2.08724772634798</v>
      </c>
      <c r="Z50" s="26" t="n">
        <f aca="false">IF(Вводные!$B$66=1,MAX(1,Y10/Вводные!$B$67),1)</f>
        <v>2.18256847458295</v>
      </c>
      <c r="AA50" s="26" t="n">
        <f aca="false">IF(Вводные!$B$66=1,MAX(1,Z10/Вводные!$B$67),1)</f>
        <v>2.27853460412316</v>
      </c>
      <c r="AB50" s="26" t="n">
        <f aca="false">IF(Вводные!$B$66=1,MAX(1,AA10/Вводные!$B$67),1)</f>
        <v>2.37511080805679</v>
      </c>
      <c r="AC50" s="26" t="n">
        <f aca="false">IF(Вводные!$B$66=1,MAX(1,AB10/Вводные!$B$67),1)</f>
        <v>2.47225804077685</v>
      </c>
      <c r="AD50" s="26" t="n">
        <f aca="false">IF(Вводные!$B$66=1,MAX(1,AC10/Вводные!$B$67),1)</f>
        <v>2.5699349840109</v>
      </c>
      <c r="AE50" s="26" t="n">
        <f aca="false">IF(Вводные!$B$66=1,MAX(1,AD10/Вводные!$B$67),1)</f>
        <v>2.66809914705903</v>
      </c>
      <c r="AF50" s="26" t="n">
        <f aca="false">IF(Вводные!$B$66=1,MAX(1,AE10/Вводные!$B$67),1)</f>
        <v>2.76670768640864</v>
      </c>
      <c r="AG50" s="26" t="n">
        <f aca="false">IF(Вводные!$B$66=1,MAX(1,AF10/Вводные!$B$67),1)</f>
        <v>2.8657180094951</v>
      </c>
      <c r="AH50" s="26" t="n">
        <f aca="false">IF(Вводные!$B$66=1,MAX(1,AG10/Вводные!$B$67),1)</f>
        <v>2.96508821230062</v>
      </c>
      <c r="AI50" s="26" t="n">
        <f aca="false">IF(Вводные!$B$66=1,MAX(1,AH10/Вводные!$B$67),1)</f>
        <v>3.06477738917922</v>
      </c>
      <c r="AJ50" s="26" t="n">
        <f aca="false">IF(Вводные!$B$66=1,MAX(1,AI10/Вводные!$B$67),1)</f>
        <v>3.16474584471211</v>
      </c>
      <c r="AK50" s="26" t="n">
        <f aca="false">IF(Вводные!$B$66=1,MAX(1,AJ10/Вводные!$B$67),1)</f>
        <v>3.2649552308089</v>
      </c>
      <c r="AL50" s="26" t="n">
        <f aca="false">IF(Вводные!$B$66=1,MAX(1,AK10/Вводные!$B$67),1)</f>
        <v>3.36536862716782</v>
      </c>
    </row>
    <row r="51" customFormat="false" ht="14.25" hidden="false" customHeight="false" outlineLevel="0" collapsed="false">
      <c r="A51" s="1" t="s">
        <v>274</v>
      </c>
      <c r="B51" s="26" t="n">
        <f aca="false">0</f>
        <v>0</v>
      </c>
      <c r="C51" s="26" t="n">
        <f aca="false">B51*(1-Вводные!$B$19)+B14*Вводные!$B$18</f>
        <v>0</v>
      </c>
      <c r="D51" s="26" t="n">
        <f aca="false">C51*(1-Вводные!$B$19)+C14*Вводные!$B$18</f>
        <v>0</v>
      </c>
      <c r="E51" s="26" t="n">
        <f aca="false">D51*(1-Вводные!$B$19)+D14*Вводные!$B$18</f>
        <v>0</v>
      </c>
      <c r="F51" s="26" t="n">
        <f aca="false">E51*(1-Вводные!$B$19)+E14*Вводные!$B$18</f>
        <v>173.349882186691</v>
      </c>
      <c r="G51" s="26" t="n">
        <f aca="false">F51*(1-Вводные!$B$19)+F14*Вводные!$B$18</f>
        <v>328.685433753897</v>
      </c>
      <c r="H51" s="26" t="n">
        <f aca="false">G51*(1-Вводные!$B$19)+G14*Вводные!$B$18</f>
        <v>467.84540667603</v>
      </c>
      <c r="I51" s="26" t="n">
        <f aca="false">H51*(1-Вводные!$B$19)+H14*Вводные!$B$18</f>
        <v>592.51795472975</v>
      </c>
      <c r="J51" s="26" t="n">
        <f aca="false">I51*(1-Вводные!$B$19)+I14*Вводные!$B$18</f>
        <v>704.21139503489</v>
      </c>
      <c r="K51" s="26" t="n">
        <f aca="false">J51*(1-Вводные!$B$19)+J14*Вводные!$B$18</f>
        <v>804.276641695865</v>
      </c>
      <c r="L51" s="26" t="n">
        <f aca="false">K51*(1-Вводные!$B$19)+K14*Вводные!$B$18</f>
        <v>893.923912258906</v>
      </c>
      <c r="M51" s="26" t="n">
        <f aca="false">L51*(1-Вводные!$B$19)+L14*Вводные!$B$18</f>
        <v>974.237484135211</v>
      </c>
      <c r="N51" s="26" t="n">
        <f aca="false">M51*(1-Вводные!$B$19)+M14*Вводные!$B$18</f>
        <v>1046.18883455039</v>
      </c>
      <c r="O51" s="26" t="n">
        <f aca="false">N51*(1-Вводные!$B$19)+N14*Вводные!$B$18</f>
        <v>1123.82990914431</v>
      </c>
      <c r="P51" s="26" t="n">
        <f aca="false">O51*(1-Вводные!$B$19)+O14*Вводные!$B$18</f>
        <v>1209.21856895561</v>
      </c>
      <c r="Q51" s="26" t="n">
        <f aca="false">P51*(1-Вводные!$B$19)+P14*Вводные!$B$18</f>
        <v>1301.36887970271</v>
      </c>
      <c r="R51" s="26" t="n">
        <f aca="false">Q51*(1-Вводные!$B$19)+Q14*Вводные!$B$18</f>
        <v>1399.53621702393</v>
      </c>
      <c r="S51" s="26" t="n">
        <f aca="false">R51*(1-Вводные!$B$19)+R14*Вводные!$B$18</f>
        <v>1503.1120385448</v>
      </c>
      <c r="T51" s="26" t="n">
        <f aca="false">S51*(1-Вводные!$B$19)+S14*Вводные!$B$18</f>
        <v>1611.59204126466</v>
      </c>
      <c r="U51" s="26" t="n">
        <f aca="false">T51*(1-Вводные!$B$19)+T14*Вводные!$B$18</f>
        <v>1724.55154840094</v>
      </c>
      <c r="V51" s="26" t="n">
        <f aca="false">U51*(1-Вводные!$B$19)+U14*Вводные!$B$18</f>
        <v>1841.627335537</v>
      </c>
      <c r="W51" s="26" t="n">
        <f aca="false">V51*(1-Вводные!$B$19)+V14*Вводные!$B$18</f>
        <v>1962.50404496685</v>
      </c>
      <c r="X51" s="26" t="n">
        <f aca="false">W51*(1-Вводные!$B$19)+W14*Вводные!$B$18</f>
        <v>2086.90395464371</v>
      </c>
      <c r="Y51" s="26" t="n">
        <f aca="false">X51*(1-Вводные!$B$19)+X14*Вводные!$B$18</f>
        <v>2214.57923016376</v>
      </c>
      <c r="Z51" s="26" t="n">
        <f aca="false">Y51*(1-Вводные!$B$19)+Y14*Вводные!$B$18</f>
        <v>2345.30603229294</v>
      </c>
      <c r="AA51" s="26" t="n">
        <f aca="false">Z51*(1-Вводные!$B$19)+Z14*Вводные!$B$18</f>
        <v>2478.88002089056</v>
      </c>
      <c r="AB51" s="26" t="n">
        <f aca="false">AA51*(1-Вводные!$B$19)+AA14*Вводные!$B$18</f>
        <v>2615.11291491009</v>
      </c>
      <c r="AC51" s="26" t="n">
        <f aca="false">AB51*(1-Вводные!$B$19)+AB14*Вводные!$B$18</f>
        <v>2753.82985365868</v>
      </c>
      <c r="AD51" s="26" t="n">
        <f aca="false">AC51*(1-Вводные!$B$19)+AC14*Вводные!$B$18</f>
        <v>2894.86736702207</v>
      </c>
      <c r="AE51" s="26" t="n">
        <f aca="false">AD51*(1-Вводные!$B$19)+AD14*Вводные!$B$18</f>
        <v>3038.0718087066</v>
      </c>
      <c r="AF51" s="26" t="n">
        <f aca="false">AE51*(1-Вводные!$B$19)+AE14*Вводные!$B$18</f>
        <v>3183.29814128988</v>
      </c>
      <c r="AG51" s="26" t="n">
        <f aca="false">AF51*(1-Вводные!$B$19)+AF14*Вводные!$B$18</f>
        <v>3330.40898814733</v>
      </c>
      <c r="AH51" s="26" t="n">
        <f aca="false">AG51*(1-Вводные!$B$19)+AG14*Вводные!$B$18</f>
        <v>3479.27388733808</v>
      </c>
      <c r="AI51" s="26" t="n">
        <f aca="false">AH51*(1-Вводные!$B$19)+AH14*Вводные!$B$18</f>
        <v>3629.76869786079</v>
      </c>
      <c r="AJ51" s="26" t="n">
        <f aca="false">AI51*(1-Вводные!$B$19)+AI14*Вводные!$B$18</f>
        <v>3781.7751204694</v>
      </c>
      <c r="AK51" s="26" t="n">
        <f aca="false">AJ51*(1-Вводные!$B$19)+AJ14*Вводные!$B$18</f>
        <v>3935.18030430919</v>
      </c>
      <c r="AL51" s="26" t="n">
        <f aca="false">AK51*(1-Вводные!$B$19)+AK14*Вводные!$B$18</f>
        <v>4089.87651762207</v>
      </c>
    </row>
    <row r="52" customFormat="false" ht="14.25" hidden="false" customHeight="false" outlineLevel="0" collapsed="false">
      <c r="A52" s="1" t="s">
        <v>275</v>
      </c>
      <c r="B52" s="26" t="n">
        <f aca="false">B14+B51*Вводные!$B$8/12</f>
        <v>0</v>
      </c>
      <c r="C52" s="26" t="n">
        <f aca="false">C14+C51*Вводные!$B$8/12</f>
        <v>0</v>
      </c>
      <c r="D52" s="26" t="n">
        <f aca="false">D14+D51*Вводные!$B$8/12</f>
        <v>0</v>
      </c>
      <c r="E52" s="26" t="n">
        <f aca="false">E14+E51*Вводные!$B$8/12</f>
        <v>541.718381833408</v>
      </c>
      <c r="F52" s="26" t="n">
        <f aca="false">F14+F51*Вводные!$B$8/12</f>
        <v>743.827715337967</v>
      </c>
      <c r="G52" s="26" t="n">
        <f aca="false">G14+G51*Вводные!$B$8/12</f>
        <v>924.830074893816</v>
      </c>
      <c r="H52" s="26" t="n">
        <f aca="false">H14+H51*Вводные!$B$8/12</f>
        <v>1086.99577798144</v>
      </c>
      <c r="I52" s="26" t="n">
        <f aca="false">I14+I51*Вводные!$B$8/12</f>
        <v>1232.27928259348</v>
      </c>
      <c r="J52" s="26" t="n">
        <f aca="false">J14+J51*Вводные!$B$8/12</f>
        <v>1362.43707822039</v>
      </c>
      <c r="K52" s="26" t="n">
        <f aca="false">K14+K51*Вводные!$B$8/12</f>
        <v>1479.0432291223</v>
      </c>
      <c r="L52" s="26" t="n">
        <f aca="false">L14+L51*Вводные!$B$8/12</f>
        <v>1583.50818396403</v>
      </c>
      <c r="M52" s="26" t="n">
        <f aca="false">M14+M51*Вводные!$B$8/12</f>
        <v>1677.09572100675</v>
      </c>
      <c r="N52" s="26" t="n">
        <f aca="false">N14+N51*Вводные!$B$8/12</f>
        <v>1802.13043721476</v>
      </c>
      <c r="O52" s="26" t="n">
        <f aca="false">O14+O51*Вводные!$B$8/12</f>
        <v>1942.07736028383</v>
      </c>
      <c r="P52" s="26" t="n">
        <f aca="false">P14+P51*Вводные!$B$8/12</f>
        <v>2090.49218175845</v>
      </c>
      <c r="Q52" s="26" t="n">
        <f aca="false">Q14+Q51*Вводные!$B$8/12</f>
        <v>2246.65931154851</v>
      </c>
      <c r="R52" s="26" t="n">
        <f aca="false">R14+R51*Вводные!$B$8/12</f>
        <v>2409.89403106605</v>
      </c>
      <c r="S52" s="26" t="n">
        <f aca="false">S14+S51*Вводные!$B$8/12</f>
        <v>2579.61496426082</v>
      </c>
      <c r="T52" s="26" t="n">
        <f aca="false">T14+T51*Вводные!$B$8/12</f>
        <v>2755.31920346228</v>
      </c>
      <c r="U52" s="26" t="n">
        <f aca="false">U14+U51*Вводные!$B$8/12</f>
        <v>2936.5657425869</v>
      </c>
      <c r="V52" s="26" t="n">
        <f aca="false">V14+V51*Вводные!$B$8/12</f>
        <v>3122.96272438813</v>
      </c>
      <c r="W52" s="26" t="n">
        <f aca="false">W14+W51*Вводные!$B$8/12</f>
        <v>3314.15767212774</v>
      </c>
      <c r="X52" s="26" t="n">
        <f aca="false">X14+X51*Вводные!$B$8/12</f>
        <v>3509.82999813702</v>
      </c>
      <c r="Y52" s="26" t="n">
        <f aca="false">Y14+Y51*Вводные!$B$8/12</f>
        <v>3709.68525280329</v>
      </c>
      <c r="Z52" s="26" t="n">
        <f aca="false">Z14+Z51*Вводные!$B$8/12</f>
        <v>3913.45070469083</v>
      </c>
      <c r="AA52" s="26" t="n">
        <f aca="false">AA14+AA51*Вводные!$B$8/12</f>
        <v>4120.87193870277</v>
      </c>
      <c r="AB52" s="26" t="n">
        <f aca="false">AB14+AB51*Вводные!$B$8/12</f>
        <v>4331.71023217776</v>
      </c>
      <c r="AC52" s="26" t="n">
        <f aca="false">AC14+AC51*Вводные!$B$8/12</f>
        <v>4545.7405244662</v>
      </c>
      <c r="AD52" s="26" t="n">
        <f aca="false">AD14+AD51*Вводные!$B$8/12</f>
        <v>4762.74983817343</v>
      </c>
      <c r="AE52" s="26" t="n">
        <f aca="false">AE14+AE51*Вводные!$B$8/12</f>
        <v>4982.53604307272</v>
      </c>
      <c r="AF52" s="26" t="n">
        <f aca="false">AF14+AF51*Вводные!$B$8/12</f>
        <v>5204.90687902754</v>
      </c>
      <c r="AG52" s="26" t="n">
        <f aca="false">AG14+AG51*Вводные!$B$8/12</f>
        <v>5429.67917386801</v>
      </c>
      <c r="AH52" s="26" t="n">
        <f aca="false">AH14+AH51*Вводные!$B$8/12</f>
        <v>5656.67820735163</v>
      </c>
      <c r="AI52" s="26" t="n">
        <f aca="false">AI14+AI51*Вводные!$B$8/12</f>
        <v>5885.73718409782</v>
      </c>
      <c r="AJ52" s="26" t="n">
        <f aca="false">AJ14+AJ51*Вводные!$B$8/12</f>
        <v>6116.69678747993</v>
      </c>
      <c r="AK52" s="26" t="n">
        <f aca="false">AK14+AK51*Вводные!$B$8/12</f>
        <v>6349.40479347371</v>
      </c>
      <c r="AL52" s="26" t="n">
        <f aca="false">AL14+AL51*Вводные!$B$8/12</f>
        <v>6583.71572885342</v>
      </c>
    </row>
    <row r="53" customFormat="false" ht="14.25" hidden="false" customHeight="false" outlineLevel="0" collapsed="false">
      <c r="A53" s="1" t="s">
        <v>276</v>
      </c>
      <c r="B53" s="26" t="n">
        <f aca="false">IFERROR(B52/B10,Вводные!$B$63)</f>
        <v>2.5</v>
      </c>
      <c r="C53" s="26" t="n">
        <f aca="false">IFERROR(C52/C10,Вводные!$B$63)</f>
        <v>0</v>
      </c>
      <c r="D53" s="26" t="n">
        <f aca="false">IFERROR(D52/D10,Вводные!$B$63)</f>
        <v>0</v>
      </c>
      <c r="E53" s="26" t="n">
        <f aca="false">IFERROR(E52/E10,Вводные!$B$63)</f>
        <v>4.42152785916293</v>
      </c>
      <c r="F53" s="26" t="n">
        <f aca="false">IFERROR(F52/F10,Вводные!$B$63)</f>
        <v>3.77875792883541</v>
      </c>
      <c r="G53" s="26" t="n">
        <f aca="false">IFERROR(G52/G10,Вводные!$B$63)</f>
        <v>3.5040240579987</v>
      </c>
      <c r="H53" s="26" t="n">
        <f aca="false">IFERROR(H52/H10,Вводные!$B$63)</f>
        <v>3.31108152324289</v>
      </c>
      <c r="I53" s="26" t="n">
        <f aca="false">IFERROR(I52/I10,Вводные!$B$63)</f>
        <v>3.15595366285381</v>
      </c>
      <c r="J53" s="26" t="n">
        <f aca="false">IFERROR(J52/J10,Вводные!$B$63)</f>
        <v>3.02326626999732</v>
      </c>
      <c r="K53" s="26" t="n">
        <f aca="false">IFERROR(K52/K10,Вводные!$B$63)</f>
        <v>2.906161205038</v>
      </c>
      <c r="L53" s="26" t="n">
        <f aca="false">IFERROR(L52/L10,Вводные!$B$63)</f>
        <v>2.80095790415772</v>
      </c>
      <c r="M53" s="26" t="n">
        <f aca="false">IFERROR(M52/M10,Вводные!$B$63)</f>
        <v>2.70539826489646</v>
      </c>
      <c r="N53" s="26" t="n">
        <f aca="false">IFERROR(N52/N10,Вводные!$B$63)</f>
        <v>2.67919197720435</v>
      </c>
      <c r="O53" s="26" t="n">
        <f aca="false">IFERROR(O52/O10,Вводные!$B$63)</f>
        <v>2.67955525852141</v>
      </c>
      <c r="P53" s="26" t="n">
        <f aca="false">IFERROR(P52/P10,Вводные!$B$63)</f>
        <v>2.691223587848</v>
      </c>
      <c r="Q53" s="26" t="n">
        <f aca="false">IFERROR(Q52/Q10,Вводные!$B$63)</f>
        <v>2.71056821758791</v>
      </c>
      <c r="R53" s="26" t="n">
        <f aca="false">IFERROR(R52/R10,Вводные!$B$63)</f>
        <v>2.73502018273185</v>
      </c>
      <c r="S53" s="26" t="n">
        <f aca="false">IFERROR(S52/S10,Вводные!$B$63)</f>
        <v>2.76281267778272</v>
      </c>
      <c r="T53" s="26" t="n">
        <f aca="false">IFERROR(T52/T10,Вводные!$B$63)</f>
        <v>2.79271217936421</v>
      </c>
      <c r="U53" s="26" t="n">
        <f aca="false">IFERROR(U52/U10,Вводные!$B$63)</f>
        <v>2.82384967228866</v>
      </c>
      <c r="V53" s="26" t="n">
        <f aca="false">IFERROR(V52/V10,Вводные!$B$63)</f>
        <v>2.85560942927058</v>
      </c>
      <c r="W53" s="26" t="n">
        <f aca="false">IFERROR(W52/W10,Вводные!$B$63)</f>
        <v>2.88755406689618</v>
      </c>
      <c r="X53" s="26" t="n">
        <f aca="false">IFERROR(X52/X10,Вводные!$B$63)</f>
        <v>2.91937309642606</v>
      </c>
      <c r="Y53" s="26" t="n">
        <f aca="false">IFERROR(Y52/Y10,Вводные!$B$63)</f>
        <v>2.95084706900088</v>
      </c>
      <c r="Z53" s="26" t="n">
        <f aca="false">IFERROR(Z52/Z10,Вводные!$B$63)</f>
        <v>2.98182228126131</v>
      </c>
      <c r="AA53" s="26" t="n">
        <f aca="false">IFERROR(AA52/AA10,Вводные!$B$63)</f>
        <v>3.01219275158836</v>
      </c>
      <c r="AB53" s="26" t="n">
        <f aca="false">IFERROR(AB52/AB10,Вводные!$B$63)</f>
        <v>3.0418872707294</v>
      </c>
      <c r="AC53" s="26" t="n">
        <f aca="false">IFERROR(AC52/AC10,Вводные!$B$63)</f>
        <v>3.07086003414643</v>
      </c>
      <c r="AD53" s="26" t="n">
        <f aca="false">IFERROR(AD52/AD10,Вводные!$B$63)</f>
        <v>3.09908382625505</v>
      </c>
      <c r="AE53" s="26" t="n">
        <f aca="false">IFERROR(AE52/AE10,Вводные!$B$63)</f>
        <v>3.12654503704317</v>
      </c>
      <c r="AF53" s="26" t="n">
        <f aca="false">IFERROR(AF52/AF10,Вводные!$B$63)</f>
        <v>3.15324000304218</v>
      </c>
      <c r="AG53" s="26" t="n">
        <f aca="false">IFERROR(AG52/AG10,Вводные!$B$63)</f>
        <v>3.17917231076468</v>
      </c>
      <c r="AH53" s="26" t="n">
        <f aca="false">IFERROR(AH52/AH10,Вводные!$B$63)</f>
        <v>3.20435080291209</v>
      </c>
      <c r="AI53" s="26" t="n">
        <f aca="false">IFERROR(AI52/AI10,Вводные!$B$63)</f>
        <v>3.22878809982973</v>
      </c>
      <c r="AJ53" s="26" t="n">
        <f aca="false">IFERROR(AJ52/AJ10,Вводные!$B$63)</f>
        <v>3.25249950009594</v>
      </c>
      <c r="AK53" s="26" t="n">
        <f aca="false">IFERROR(AK52/AK10,Вводные!$B$63)</f>
        <v>3.2755021610125</v>
      </c>
      <c r="AL53" s="26" t="n">
        <f aca="false">IFERROR(AL52/AL10,Вводные!$B$63)</f>
        <v>3.29781448638005</v>
      </c>
    </row>
    <row r="54" customFormat="false" ht="14.25" hidden="false" customHeight="false" outlineLevel="0" collapsed="false">
      <c r="A54" s="1" t="s">
        <v>277</v>
      </c>
      <c r="B54" s="26" t="n">
        <f aca="false">1</f>
        <v>1</v>
      </c>
      <c r="C54" s="26" t="n">
        <f aca="false">IF(C$2&lt;=MIN(Маркетинг!$G$9:$G$10),1,MIN(1.5,MAX(0.5,1-Вводные!$B$65*(1-B53/Вводные!$B$63))))</f>
        <v>1</v>
      </c>
      <c r="D54" s="26" t="n">
        <f aca="false">IF(D$2&lt;=MIN(Маркетинг!$G$9:$G$10),1,MIN(1.5,MAX(0.5,1-Вводные!$B$65*(1-C53/Вводные!$B$63))))</f>
        <v>1</v>
      </c>
      <c r="E54" s="26" t="n">
        <f aca="false">IF(E$2&lt;=MIN(Маркетинг!$G$9:$G$10),1,MIN(1.5,MAX(0.5,1-Вводные!$B$65*(1-D53/Вводные!$B$63))))</f>
        <v>1</v>
      </c>
      <c r="F54" s="26" t="n">
        <f aca="false">IF(F$2&lt;=MIN(Маркетинг!$G$9:$G$10),1,MIN(1.5,MAX(0.5,1-Вводные!$B$65*(1-E53/Вводные!$B$63))))</f>
        <v>1.38430557183259</v>
      </c>
      <c r="G54" s="26" t="n">
        <f aca="false">IF(G$2&lt;=MIN(Маркетинг!$G$9:$G$10),1,MIN(1.5,MAX(0.5,1-Вводные!$B$65*(1-F53/Вводные!$B$63))))</f>
        <v>1.25575158576708</v>
      </c>
      <c r="H54" s="26" t="n">
        <f aca="false">IF(H$2&lt;=MIN(Маркетинг!$G$9:$G$10),1,MIN(1.5,MAX(0.5,1-Вводные!$B$65*(1-G53/Вводные!$B$63))))</f>
        <v>1.20080481159974</v>
      </c>
      <c r="I54" s="26" t="n">
        <f aca="false">IF(I$2&lt;=MIN(Маркетинг!$G$9:$G$10),1,MIN(1.5,MAX(0.5,1-Вводные!$B$65*(1-H53/Вводные!$B$63))))</f>
        <v>1.16221630464858</v>
      </c>
      <c r="J54" s="26" t="n">
        <f aca="false">IF(J$2&lt;=MIN(Маркетинг!$G$9:$G$10),1,MIN(1.5,MAX(0.5,1-Вводные!$B$65*(1-I53/Вводные!$B$63))))</f>
        <v>1.13119073257076</v>
      </c>
      <c r="K54" s="26" t="n">
        <f aca="false">IF(K$2&lt;=MIN(Маркетинг!$G$9:$G$10),1,MIN(1.5,MAX(0.5,1-Вводные!$B$65*(1-J53/Вводные!$B$63))))</f>
        <v>1.10465325399946</v>
      </c>
      <c r="L54" s="26" t="n">
        <f aca="false">IF(L$2&lt;=MIN(Маркетинг!$G$9:$G$10),1,MIN(1.5,MAX(0.5,1-Вводные!$B$65*(1-K53/Вводные!$B$63))))</f>
        <v>1.0812322410076</v>
      </c>
      <c r="M54" s="26" t="n">
        <f aca="false">IF(M$2&lt;=MIN(Маркетинг!$G$9:$G$10),1,MIN(1.5,MAX(0.5,1-Вводные!$B$65*(1-L53/Вводные!$B$63))))</f>
        <v>1.06019158083154</v>
      </c>
      <c r="N54" s="26" t="n">
        <f aca="false">IF(N$2&lt;=MIN(Маркетинг!$G$9:$G$10),1,MIN(1.5,MAX(0.5,1-Вводные!$B$65*(1-M53/Вводные!$B$63))))</f>
        <v>1.04107965297929</v>
      </c>
      <c r="O54" s="26" t="n">
        <f aca="false">IF(O$2&lt;=MIN(Маркетинг!$G$9:$G$10),1,MIN(1.5,MAX(0.5,1-Вводные!$B$65*(1-N53/Вводные!$B$63))))</f>
        <v>1.03583839544087</v>
      </c>
      <c r="P54" s="26" t="n">
        <f aca="false">IF(P$2&lt;=MIN(Маркетинг!$G$9:$G$10),1,MIN(1.5,MAX(0.5,1-Вводные!$B$65*(1-O53/Вводные!$B$63))))</f>
        <v>1.03591105170428</v>
      </c>
      <c r="Q54" s="26" t="n">
        <f aca="false">IF(Q$2&lt;=MIN(Маркетинг!$G$9:$G$10),1,MIN(1.5,MAX(0.5,1-Вводные!$B$65*(1-P53/Вводные!$B$63))))</f>
        <v>1.0382447175696</v>
      </c>
      <c r="R54" s="26" t="n">
        <f aca="false">IF(R$2&lt;=MIN(Маркетинг!$G$9:$G$10),1,MIN(1.5,MAX(0.5,1-Вводные!$B$65*(1-Q53/Вводные!$B$63))))</f>
        <v>1.04211364351758</v>
      </c>
      <c r="S54" s="26" t="n">
        <f aca="false">IF(S$2&lt;=MIN(Маркетинг!$G$9:$G$10),1,MIN(1.5,MAX(0.5,1-Вводные!$B$65*(1-R53/Вводные!$B$63))))</f>
        <v>1.04700403654637</v>
      </c>
      <c r="T54" s="26" t="n">
        <f aca="false">IF(T$2&lt;=MIN(Маркетинг!$G$9:$G$10),1,MIN(1.5,MAX(0.5,1-Вводные!$B$65*(1-S53/Вводные!$B$63))))</f>
        <v>1.05256253555654</v>
      </c>
      <c r="U54" s="26" t="n">
        <f aca="false">IF(U$2&lt;=MIN(Маркетинг!$G$9:$G$10),1,MIN(1.5,MAX(0.5,1-Вводные!$B$65*(1-T53/Вводные!$B$63))))</f>
        <v>1.05854243587284</v>
      </c>
      <c r="V54" s="26" t="n">
        <f aca="false">IF(V$2&lt;=MIN(Маркетинг!$G$9:$G$10),1,MIN(1.5,MAX(0.5,1-Вводные!$B$65*(1-U53/Вводные!$B$63))))</f>
        <v>1.06476993445773</v>
      </c>
      <c r="W54" s="26" t="n">
        <f aca="false">IF(W$2&lt;=MIN(Маркетинг!$G$9:$G$10),1,MIN(1.5,MAX(0.5,1-Вводные!$B$65*(1-V53/Вводные!$B$63))))</f>
        <v>1.07112188585412</v>
      </c>
      <c r="X54" s="26" t="n">
        <f aca="false">IF(X$2&lt;=MIN(Маркетинг!$G$9:$G$10),1,MIN(1.5,MAX(0.5,1-Вводные!$B$65*(1-W53/Вводные!$B$63))))</f>
        <v>1.07751081337924</v>
      </c>
      <c r="Y54" s="26" t="n">
        <f aca="false">IF(Y$2&lt;=MIN(Маркетинг!$G$9:$G$10),1,MIN(1.5,MAX(0.5,1-Вводные!$B$65*(1-X53/Вводные!$B$63))))</f>
        <v>1.08387461928521</v>
      </c>
      <c r="Z54" s="26" t="n">
        <f aca="false">IF(Z$2&lt;=MIN(Маркетинг!$G$9:$G$10),1,MIN(1.5,MAX(0.5,1-Вводные!$B$65*(1-Y53/Вводные!$B$63))))</f>
        <v>1.09016941380018</v>
      </c>
      <c r="AA54" s="26" t="n">
        <f aca="false">IF(AA$2&lt;=MIN(Маркетинг!$G$9:$G$10),1,MIN(1.5,MAX(0.5,1-Вводные!$B$65*(1-Z53/Вводные!$B$63))))</f>
        <v>1.09636445625226</v>
      </c>
      <c r="AB54" s="26" t="n">
        <f aca="false">IF(AB$2&lt;=MIN(Маркетинг!$G$9:$G$10),1,MIN(1.5,MAX(0.5,1-Вводные!$B$65*(1-AA53/Вводные!$B$63))))</f>
        <v>1.10243855031767</v>
      </c>
      <c r="AC54" s="26" t="n">
        <f aca="false">IF(AC$2&lt;=MIN(Маркетинг!$G$9:$G$10),1,MIN(1.5,MAX(0.5,1-Вводные!$B$65*(1-AB53/Вводные!$B$63))))</f>
        <v>1.10837745414588</v>
      </c>
      <c r="AD54" s="26" t="n">
        <f aca="false">IF(AD$2&lt;=MIN(Маркетинг!$G$9:$G$10),1,MIN(1.5,MAX(0.5,1-Вводные!$B$65*(1-AC53/Вводные!$B$63))))</f>
        <v>1.11417200682929</v>
      </c>
      <c r="AE54" s="26" t="n">
        <f aca="false">IF(AE$2&lt;=MIN(Маркетинг!$G$9:$G$10),1,MIN(1.5,MAX(0.5,1-Вводные!$B$65*(1-AD53/Вводные!$B$63))))</f>
        <v>1.11981676525101</v>
      </c>
      <c r="AF54" s="26" t="n">
        <f aca="false">IF(AF$2&lt;=MIN(Маркетинг!$G$9:$G$10),1,MIN(1.5,MAX(0.5,1-Вводные!$B$65*(1-AE53/Вводные!$B$63))))</f>
        <v>1.12530900740863</v>
      </c>
      <c r="AG54" s="26" t="n">
        <f aca="false">IF(AG$2&lt;=MIN(Маркетинг!$G$9:$G$10),1,MIN(1.5,MAX(0.5,1-Вводные!$B$65*(1-AF53/Вводные!$B$63))))</f>
        <v>1.13064800060844</v>
      </c>
      <c r="AH54" s="26" t="n">
        <f aca="false">IF(AH$2&lt;=MIN(Маркетинг!$G$9:$G$10),1,MIN(1.5,MAX(0.5,1-Вводные!$B$65*(1-AG53/Вводные!$B$63))))</f>
        <v>1.13583446215294</v>
      </c>
      <c r="AI54" s="26" t="n">
        <f aca="false">IF(AI$2&lt;=MIN(Маркетинг!$G$9:$G$10),1,MIN(1.5,MAX(0.5,1-Вводные!$B$65*(1-AH53/Вводные!$B$63))))</f>
        <v>1.14087016058242</v>
      </c>
      <c r="AJ54" s="26" t="n">
        <f aca="false">IF(AJ$2&lt;=MIN(Маркетинг!$G$9:$G$10),1,MIN(1.5,MAX(0.5,1-Вводные!$B$65*(1-AI53/Вводные!$B$63))))</f>
        <v>1.14575761996595</v>
      </c>
      <c r="AK54" s="26" t="n">
        <f aca="false">IF(AK$2&lt;=MIN(Маркетинг!$G$9:$G$10),1,MIN(1.5,MAX(0.5,1-Вводные!$B$65*(1-AJ53/Вводные!$B$63))))</f>
        <v>1.15049990001919</v>
      </c>
      <c r="AL54" s="26" t="n">
        <f aca="false">IF(AL$2&lt;=MIN(Маркетинг!$G$9:$G$10),1,MIN(1.5,MAX(0.5,1-Вводные!$B$65*(1-AK53/Вводные!$B$63))))</f>
        <v>1.1551004322025</v>
      </c>
    </row>
    <row r="55" customFormat="false" ht="14.25" hidden="false" customHeight="false" outlineLevel="0" collapsed="false">
      <c r="A55" s="1" t="s">
        <v>278</v>
      </c>
      <c r="B55" s="26" t="n">
        <f aca="false">1</f>
        <v>1</v>
      </c>
      <c r="C55" s="26" t="n">
        <f aca="false">IF(C$2&lt;=MIN(Маркетинг!$G$9:$G$10),1,MIN(2,MAX(0.5,1+Вводные!$B$64*(1-B53/Вводные!$B$63))))</f>
        <v>1</v>
      </c>
      <c r="D55" s="26" t="n">
        <f aca="false">IF(D$2&lt;=MIN(Маркетинг!$G$9:$G$10),1,MIN(2,MAX(0.5,1+Вводные!$B$64*(1-C53/Вводные!$B$63))))</f>
        <v>1</v>
      </c>
      <c r="E55" s="26" t="n">
        <f aca="false">IF(E$2&lt;=MIN(Маркетинг!$G$9:$G$10),1,MIN(2,MAX(0.5,1+Вводные!$B$64*(1-D53/Вводные!$B$63))))</f>
        <v>1</v>
      </c>
      <c r="F55" s="26" t="n">
        <f aca="false">IF(F$2&lt;=MIN(Маркетинг!$G$9:$G$10),1,MIN(2,MAX(0.5,1+Вводные!$B$64*(1-E53/Вводные!$B$63))))</f>
        <v>0.615694428167414</v>
      </c>
      <c r="G55" s="26" t="n">
        <f aca="false">IF(G$2&lt;=MIN(Маркетинг!$G$9:$G$10),1,MIN(2,MAX(0.5,1+Вводные!$B$64*(1-F53/Вводные!$B$63))))</f>
        <v>0.744248414232919</v>
      </c>
      <c r="H55" s="26" t="n">
        <f aca="false">IF(H$2&lt;=MIN(Маркетинг!$G$9:$G$10),1,MIN(2,MAX(0.5,1+Вводные!$B$64*(1-G53/Вводные!$B$63))))</f>
        <v>0.799195188400259</v>
      </c>
      <c r="I55" s="26" t="n">
        <f aca="false">IF(I$2&lt;=MIN(Маркетинг!$G$9:$G$10),1,MIN(2,MAX(0.5,1+Вводные!$B$64*(1-H53/Вводные!$B$63))))</f>
        <v>0.837783695351422</v>
      </c>
      <c r="J55" s="26" t="n">
        <f aca="false">IF(J$2&lt;=MIN(Маркетинг!$G$9:$G$10),1,MIN(2,MAX(0.5,1+Вводные!$B$64*(1-I53/Вводные!$B$63))))</f>
        <v>0.868809267429237</v>
      </c>
      <c r="K55" s="26" t="n">
        <f aca="false">IF(K$2&lt;=MIN(Маркетинг!$G$9:$G$10),1,MIN(2,MAX(0.5,1+Вводные!$B$64*(1-J53/Вводные!$B$63))))</f>
        <v>0.895346746000537</v>
      </c>
      <c r="L55" s="26" t="n">
        <f aca="false">IF(L$2&lt;=MIN(Маркетинг!$G$9:$G$10),1,MIN(2,MAX(0.5,1+Вводные!$B$64*(1-K53/Вводные!$B$63))))</f>
        <v>0.9187677589924</v>
      </c>
      <c r="M55" s="26" t="n">
        <f aca="false">IF(M$2&lt;=MIN(Маркетинг!$G$9:$G$10),1,MIN(2,MAX(0.5,1+Вводные!$B$64*(1-L53/Вводные!$B$63))))</f>
        <v>0.939808419168457</v>
      </c>
      <c r="N55" s="26" t="n">
        <f aca="false">IF(N$2&lt;=MIN(Маркетинг!$G$9:$G$10),1,MIN(2,MAX(0.5,1+Вводные!$B$64*(1-M53/Вводные!$B$63))))</f>
        <v>0.958920347020709</v>
      </c>
      <c r="O55" s="26" t="n">
        <f aca="false">IF(O$2&lt;=MIN(Маркетинг!$G$9:$G$10),1,MIN(2,MAX(0.5,1+Вводные!$B$64*(1-N53/Вводные!$B$63))))</f>
        <v>0.964161604559131</v>
      </c>
      <c r="P55" s="26" t="n">
        <f aca="false">IF(P$2&lt;=MIN(Маркетинг!$G$9:$G$10),1,MIN(2,MAX(0.5,1+Вводные!$B$64*(1-O53/Вводные!$B$63))))</f>
        <v>0.964088948295717</v>
      </c>
      <c r="Q55" s="26" t="n">
        <f aca="false">IF(Q$2&lt;=MIN(Маркетинг!$G$9:$G$10),1,MIN(2,MAX(0.5,1+Вводные!$B$64*(1-P53/Вводные!$B$63))))</f>
        <v>0.9617552824304</v>
      </c>
      <c r="R55" s="26" t="n">
        <f aca="false">IF(R$2&lt;=MIN(Маркетинг!$G$9:$G$10),1,MIN(2,MAX(0.5,1+Вводные!$B$64*(1-Q53/Вводные!$B$63))))</f>
        <v>0.957886356482418</v>
      </c>
      <c r="S55" s="26" t="n">
        <f aca="false">IF(S$2&lt;=MIN(Маркетинг!$G$9:$G$10),1,MIN(2,MAX(0.5,1+Вводные!$B$64*(1-R53/Вводные!$B$63))))</f>
        <v>0.95299596345363</v>
      </c>
      <c r="T55" s="26" t="n">
        <f aca="false">IF(T$2&lt;=MIN(Маркетинг!$G$9:$G$10),1,MIN(2,MAX(0.5,1+Вводные!$B$64*(1-S53/Вводные!$B$63))))</f>
        <v>0.947437464443456</v>
      </c>
      <c r="U55" s="26" t="n">
        <f aca="false">IF(U$2&lt;=MIN(Маркетинг!$G$9:$G$10),1,MIN(2,MAX(0.5,1+Вводные!$B$64*(1-T53/Вводные!$B$63))))</f>
        <v>0.941457564127158</v>
      </c>
      <c r="V55" s="26" t="n">
        <f aca="false">IF(V$2&lt;=MIN(Маркетинг!$G$9:$G$10),1,MIN(2,MAX(0.5,1+Вводные!$B$64*(1-U53/Вводные!$B$63))))</f>
        <v>0.935230065542267</v>
      </c>
      <c r="W55" s="26" t="n">
        <f aca="false">IF(W$2&lt;=MIN(Маркетинг!$G$9:$G$10),1,MIN(2,MAX(0.5,1+Вводные!$B$64*(1-V53/Вводные!$B$63))))</f>
        <v>0.928878114145885</v>
      </c>
      <c r="X55" s="26" t="n">
        <f aca="false">IF(X$2&lt;=MIN(Маркетинг!$G$9:$G$10),1,MIN(2,MAX(0.5,1+Вводные!$B$64*(1-W53/Вводные!$B$63))))</f>
        <v>0.922489186620764</v>
      </c>
      <c r="Y55" s="26" t="n">
        <f aca="false">IF(Y$2&lt;=MIN(Маркетинг!$G$9:$G$10),1,MIN(2,MAX(0.5,1+Вводные!$B$64*(1-X53/Вводные!$B$63))))</f>
        <v>0.916125380714788</v>
      </c>
      <c r="Z55" s="26" t="n">
        <f aca="false">IF(Z$2&lt;=MIN(Маркетинг!$G$9:$G$10),1,MIN(2,MAX(0.5,1+Вводные!$B$64*(1-Y53/Вводные!$B$63))))</f>
        <v>0.909830586199823</v>
      </c>
      <c r="AA55" s="26" t="n">
        <f aca="false">IF(AA$2&lt;=MIN(Маркетинг!$G$9:$G$10),1,MIN(2,MAX(0.5,1+Вводные!$B$64*(1-Z53/Вводные!$B$63))))</f>
        <v>0.903635543747739</v>
      </c>
      <c r="AB55" s="26" t="n">
        <f aca="false">IF(AB$2&lt;=MIN(Маркетинг!$G$9:$G$10),1,MIN(2,MAX(0.5,1+Вводные!$B$64*(1-AA53/Вводные!$B$63))))</f>
        <v>0.897561449682327</v>
      </c>
      <c r="AC55" s="26" t="n">
        <f aca="false">IF(AC$2&lt;=MIN(Маркетинг!$G$9:$G$10),1,MIN(2,MAX(0.5,1+Вводные!$B$64*(1-AB53/Вводные!$B$63))))</f>
        <v>0.891622545854121</v>
      </c>
      <c r="AD55" s="26" t="n">
        <f aca="false">IF(AD$2&lt;=MIN(Маркетинг!$G$9:$G$10),1,MIN(2,MAX(0.5,1+Вводные!$B$64*(1-AC53/Вводные!$B$63))))</f>
        <v>0.885827993170714</v>
      </c>
      <c r="AE55" s="26" t="n">
        <f aca="false">IF(AE$2&lt;=MIN(Маркетинг!$G$9:$G$10),1,MIN(2,MAX(0.5,1+Вводные!$B$64*(1-AD53/Вводные!$B$63))))</f>
        <v>0.880183234748991</v>
      </c>
      <c r="AF55" s="26" t="n">
        <f aca="false">IF(AF$2&lt;=MIN(Маркетинг!$G$9:$G$10),1,MIN(2,MAX(0.5,1+Вводные!$B$64*(1-AE53/Вводные!$B$63))))</f>
        <v>0.874690992591365</v>
      </c>
      <c r="AG55" s="26" t="n">
        <f aca="false">IF(AG$2&lt;=MIN(Маркетинг!$G$9:$G$10),1,MIN(2,MAX(0.5,1+Вводные!$B$64*(1-AF53/Вводные!$B$63))))</f>
        <v>0.869351999391563</v>
      </c>
      <c r="AH55" s="26" t="n">
        <f aca="false">IF(AH$2&lt;=MIN(Маркетинг!$G$9:$G$10),1,MIN(2,MAX(0.5,1+Вводные!$B$64*(1-AG53/Вводные!$B$63))))</f>
        <v>0.864165537847065</v>
      </c>
      <c r="AI55" s="26" t="n">
        <f aca="false">IF(AI$2&lt;=MIN(Маркетинг!$G$9:$G$10),1,MIN(2,MAX(0.5,1+Вводные!$B$64*(1-AH53/Вводные!$B$63))))</f>
        <v>0.859129839417583</v>
      </c>
      <c r="AJ55" s="26" t="n">
        <f aca="false">IF(AJ$2&lt;=MIN(Маркетинг!$G$9:$G$10),1,MIN(2,MAX(0.5,1+Вводные!$B$64*(1-AI53/Вводные!$B$63))))</f>
        <v>0.854242380034055</v>
      </c>
      <c r="AK55" s="26" t="n">
        <f aca="false">IF(AK$2&lt;=MIN(Маркетинг!$G$9:$G$10),1,MIN(2,MAX(0.5,1+Вводные!$B$64*(1-AJ53/Вводные!$B$63))))</f>
        <v>0.849500099980813</v>
      </c>
      <c r="AL55" s="26" t="n">
        <f aca="false">IF(AL$2&lt;=MIN(Маркетинг!$G$9:$G$10),1,MIN(2,MAX(0.5,1+Вводные!$B$64*(1-AK53/Вводные!$B$63))))</f>
        <v>0.844899567797499</v>
      </c>
    </row>
    <row r="56" customFormat="false" ht="14.25" hidden="false" customHeight="false" outlineLevel="0" collapsed="false">
      <c r="A56" s="1" t="s">
        <v>279</v>
      </c>
      <c r="B56" s="26" t="n">
        <f aca="false">Вводные!$B$69+(Вводные!$B$12-Вводные!$B$69)*EXP(-MAX(0,B$2-1)/Вводные!$B$70)</f>
        <v>0.05</v>
      </c>
      <c r="C56" s="26" t="n">
        <f aca="false">Вводные!$B$69+(Вводные!$B$12-Вводные!$B$69)*EXP(-MAX(0,C$2-1)/Вводные!$B$70)</f>
        <v>0.05</v>
      </c>
      <c r="D56" s="26" t="n">
        <f aca="false">Вводные!$B$69+(Вводные!$B$12-Вводные!$B$69)*EXP(-MAX(0,D$2-1)/Вводные!$B$70)</f>
        <v>0.0484008882925865</v>
      </c>
      <c r="E56" s="26" t="n">
        <f aca="false">Вводные!$B$69+(Вводные!$B$12-Вводные!$B$69)*EXP(-MAX(0,E$2-1)/Вводные!$B$70)</f>
        <v>0.0469296344978123</v>
      </c>
      <c r="F56" s="26" t="n">
        <f aca="false">Вводные!$B$69+(Вводные!$B$12-Вводные!$B$69)*EXP(-MAX(0,F$2-1)/Вводные!$B$70)</f>
        <v>0.0455760156614281</v>
      </c>
      <c r="G56" s="26" t="n">
        <f aca="false">Вводные!$B$69+(Вводные!$B$12-Вводные!$B$69)*EXP(-MAX(0,G$2-1)/Вводные!$B$70)</f>
        <v>0.0443306262114758</v>
      </c>
      <c r="H56" s="26" t="n">
        <f aca="false">Вводные!$B$69+(Вводные!$B$12-Вводные!$B$69)*EXP(-MAX(0,H$2-1)/Вводные!$B$70)</f>
        <v>0.0431848126040089</v>
      </c>
      <c r="I56" s="26" t="n">
        <f aca="false">Вводные!$B$69+(Вводные!$B$12-Вводные!$B$69)*EXP(-MAX(0,I$2-1)/Вводные!$B$70)</f>
        <v>0.0421306131942527</v>
      </c>
      <c r="J56" s="26" t="n">
        <f aca="false">Вводные!$B$69+(Вводные!$B$12-Вводные!$B$69)*EXP(-MAX(0,J$2-1)/Вводные!$B$70)</f>
        <v>0.0411607029154009</v>
      </c>
      <c r="K56" s="26" t="n">
        <f aca="false">Вводные!$B$69+(Вводные!$B$12-Вводные!$B$69)*EXP(-MAX(0,K$2-1)/Вводные!$B$70)</f>
        <v>0.0402683423806518</v>
      </c>
      <c r="L56" s="26" t="n">
        <f aca="false">Вводные!$B$69+(Вводные!$B$12-Вводные!$B$69)*EXP(-MAX(0,L$2-1)/Вводные!$B$70)</f>
        <v>0.0394473310548203</v>
      </c>
      <c r="M56" s="26" t="n">
        <f aca="false">Вводные!$B$69+(Вводные!$B$12-Вводные!$B$69)*EXP(-MAX(0,M$2-1)/Вводные!$B$70)</f>
        <v>0.0386919641701416</v>
      </c>
      <c r="N56" s="26" t="n">
        <f aca="false">Вводные!$B$69+(Вводные!$B$12-Вводные!$B$69)*EXP(-MAX(0,N$2-1)/Вводные!$B$70)</f>
        <v>0.037996993086897</v>
      </c>
      <c r="O56" s="26" t="n">
        <f aca="false">Вводные!$B$69+(Вводные!$B$12-Вводные!$B$69)*EXP(-MAX(0,O$2-1)/Вводные!$B$70)</f>
        <v>0.0373575888234289</v>
      </c>
      <c r="P56" s="26" t="n">
        <f aca="false">Вводные!$B$69+(Вводные!$B$12-Вводные!$B$69)*EXP(-MAX(0,P$2-1)/Вводные!$B$70)</f>
        <v>0.0367693085021349</v>
      </c>
      <c r="Q56" s="26" t="n">
        <f aca="false">Вводные!$B$69+(Вводные!$B$12-Вводные!$B$69)*EXP(-MAX(0,Q$2-1)/Вводные!$B$70)</f>
        <v>0.036228064478292</v>
      </c>
      <c r="R56" s="26" t="n">
        <f aca="false">Вводные!$B$69+(Вводные!$B$12-Вводные!$B$69)*EXP(-MAX(0,R$2-1)/Вводные!$B$70)</f>
        <v>0.0357300959372038</v>
      </c>
      <c r="S56" s="26" t="n">
        <f aca="false">Вводные!$B$69+(Вводные!$B$12-Вводные!$B$69)*EXP(-MAX(0,S$2-1)/Вводные!$B$70)</f>
        <v>0.0352719427623145</v>
      </c>
      <c r="T56" s="26" t="n">
        <f aca="false">Вводные!$B$69+(Вводные!$B$12-Вводные!$B$69)*EXP(-MAX(0,T$2-1)/Вводные!$B$70)</f>
        <v>0.034850421492713</v>
      </c>
      <c r="U56" s="26" t="n">
        <f aca="false">Вводные!$B$69+(Вводные!$B$12-Вводные!$B$69)*EXP(-MAX(0,U$2-1)/Вводные!$B$70)</f>
        <v>0.0344626032029686</v>
      </c>
      <c r="V56" s="26" t="n">
        <f aca="false">Вводные!$B$69+(Вводные!$B$12-Вводные!$B$69)*EXP(-MAX(0,V$2-1)/Вводные!$B$70)</f>
        <v>0.0341057931515982</v>
      </c>
      <c r="W56" s="26" t="n">
        <f aca="false">Вводные!$B$69+(Вводные!$B$12-Вводные!$B$69)*EXP(-MAX(0,W$2-1)/Вводные!$B$70)</f>
        <v>0.0337775120567512</v>
      </c>
      <c r="X56" s="26" t="n">
        <f aca="false">Вводные!$B$69+(Вводные!$B$12-Вводные!$B$69)*EXP(-MAX(0,X$2-1)/Вводные!$B$70)</f>
        <v>0.0334754788690089</v>
      </c>
      <c r="Y56" s="26" t="n">
        <f aca="false">Вводные!$B$69+(Вводные!$B$12-Вводные!$B$69)*EXP(-MAX(0,Y$2-1)/Вводные!$B$70)</f>
        <v>0.0331975949215939</v>
      </c>
      <c r="Z56" s="26" t="n">
        <f aca="false">Вводные!$B$69+(Вводные!$B$12-Вводные!$B$69)*EXP(-MAX(0,Z$2-1)/Вводные!$B$70)</f>
        <v>0.0329419293478595</v>
      </c>
      <c r="AA56" s="26" t="n">
        <f aca="false">Вводные!$B$69+(Вводные!$B$12-Вводные!$B$69)*EXP(-MAX(0,AA$2-1)/Вводные!$B$70)</f>
        <v>0.0327067056647323</v>
      </c>
      <c r="AB56" s="26" t="n">
        <f aca="false">Вводные!$B$69+(Вводные!$B$12-Вводные!$B$69)*EXP(-MAX(0,AB$2-1)/Вводные!$B$70)</f>
        <v>0.0324902894288825</v>
      </c>
      <c r="AC56" s="26" t="n">
        <f aca="false">Вводные!$B$69+(Вводные!$B$12-Вводные!$B$69)*EXP(-MAX(0,AC$2-1)/Вводные!$B$70)</f>
        <v>0.0322911768798538</v>
      </c>
      <c r="AD56" s="26" t="n">
        <f aca="false">Вводные!$B$69+(Вводные!$B$12-Вводные!$B$69)*EXP(-MAX(0,AD$2-1)/Вводные!$B$70)</f>
        <v>0.0321079844912373</v>
      </c>
      <c r="AE56" s="26" t="n">
        <f aca="false">Вводные!$B$69+(Вводные!$B$12-Вводные!$B$69)*EXP(-MAX(0,AE$2-1)/Вводные!$B$70)</f>
        <v>0.0319394393572881</v>
      </c>
      <c r="AF56" s="26" t="n">
        <f aca="false">Вводные!$B$69+(Вводные!$B$12-Вводные!$B$69)*EXP(-MAX(0,AF$2-1)/Вводные!$B$70)</f>
        <v>0.0317843703481852</v>
      </c>
      <c r="AG56" s="26" t="n">
        <f aca="false">Вводные!$B$69+(Вводные!$B$12-Вводные!$B$69)*EXP(-MAX(0,AG$2-1)/Вводные!$B$70)</f>
        <v>0.031641699972478</v>
      </c>
      <c r="AH56" s="26" t="n">
        <f aca="false">Вводные!$B$69+(Вводные!$B$12-Вводные!$B$69)*EXP(-MAX(0,AH$2-1)/Вводные!$B$70)</f>
        <v>0.0315104368901755</v>
      </c>
      <c r="AI56" s="26" t="n">
        <f aca="false">Вводные!$B$69+(Вводные!$B$12-Вводные!$B$69)*EXP(-MAX(0,AI$2-1)/Вводные!$B$70)</f>
        <v>0.031389669024456</v>
      </c>
      <c r="AJ56" s="26" t="n">
        <f aca="false">Вводные!$B$69+(Вводные!$B$12-Вводные!$B$69)*EXP(-MAX(0,AJ$2-1)/Вводные!$B$70)</f>
        <v>0.0312785572241342</v>
      </c>
      <c r="AK56" s="26" t="n">
        <f aca="false">Вводные!$B$69+(Вводные!$B$12-Вводные!$B$69)*EXP(-MAX(0,AK$2-1)/Вводные!$B$70)</f>
        <v>0.0311763294328486</v>
      </c>
      <c r="AL56" s="26" t="n">
        <f aca="false">Вводные!$B$69+(Вводные!$B$12-Вводные!$B$69)*EXP(-MAX(0,AL$2-1)/Вводные!$B$70)</f>
        <v>0.0310822753244564</v>
      </c>
    </row>
    <row r="57" customFormat="false" ht="14.25" hidden="false" customHeight="false" outlineLevel="0" collapsed="false">
      <c r="A57" s="1" t="s">
        <v>280</v>
      </c>
      <c r="B57" s="26" t="n">
        <f aca="false">Вводные!$B$23*(1-EXP(-B10/Вводные!$B$71))</f>
        <v>0</v>
      </c>
      <c r="C57" s="26" t="n">
        <f aca="false">Вводные!$B$23*(1-EXP(-C10/Вводные!$B$71))</f>
        <v>0.0115803999409024</v>
      </c>
      <c r="D57" s="26" t="n">
        <f aca="false">Вводные!$B$23*(1-EXP(-D10/Вводные!$B$71))</f>
        <v>0.0333874382928386</v>
      </c>
      <c r="E57" s="26" t="n">
        <f aca="false">Вводные!$B$23*(1-EXP(-E10/Вводные!$B$71))</f>
        <v>0.0543310540609186</v>
      </c>
      <c r="F57" s="26" t="n">
        <f aca="false">Вводные!$B$23*(1-EXP(-F10/Вводные!$B$71))</f>
        <v>0.0813590467773656</v>
      </c>
      <c r="G57" s="26" t="n">
        <f aca="false">Вводные!$B$23*(1-EXP(-G10/Вводные!$B$71))</f>
        <v>0.102534611380688</v>
      </c>
      <c r="H57" s="26" t="n">
        <f aca="false">Вводные!$B$23*(1-EXP(-H10/Вводные!$B$71))</f>
        <v>0.120344566549927</v>
      </c>
      <c r="I57" s="26" t="n">
        <f aca="false">Вводные!$B$23*(1-EXP(-I10/Вводные!$B$71))</f>
        <v>0.135504289517493</v>
      </c>
      <c r="J57" s="26" t="n">
        <f aca="false">Вводные!$B$23*(1-EXP(-J10/Вводные!$B$71))</f>
        <v>0.148489777633795</v>
      </c>
      <c r="K57" s="26" t="n">
        <f aca="false">Вводные!$B$23*(1-EXP(-K10/Вводные!$B$71))</f>
        <v>0.159658799559273</v>
      </c>
      <c r="L57" s="26" t="n">
        <f aca="false">Вводные!$B$23*(1-EXP(-L10/Вводные!$B$71))</f>
        <v>0.169297426654959</v>
      </c>
      <c r="M57" s="26" t="n">
        <f aca="false">Вводные!$B$23*(1-EXP(-M10/Вводные!$B$71))</f>
        <v>0.177640509230977</v>
      </c>
      <c r="N57" s="26" t="n">
        <f aca="false">Вводные!$B$23*(1-EXP(-N10/Вводные!$B$71))</f>
        <v>0.184883247289401</v>
      </c>
      <c r="O57" s="26" t="n">
        <f aca="false">Вводные!$B$23*(1-EXP(-O10/Вводные!$B$71))</f>
        <v>0.19133115101696</v>
      </c>
      <c r="P57" s="26" t="n">
        <f aca="false">Вводные!$B$23*(1-EXP(-P10/Вводные!$B$71))</f>
        <v>0.19712670983275</v>
      </c>
      <c r="Q57" s="26" t="n">
        <f aca="false">Вводные!$B$23*(1-EXP(-Q10/Вводные!$B$71))</f>
        <v>0.202355969536915</v>
      </c>
      <c r="R57" s="26" t="n">
        <f aca="false">Вводные!$B$23*(1-EXP(-R10/Вводные!$B$71))</f>
        <v>0.207085430799467</v>
      </c>
      <c r="S57" s="26" t="n">
        <f aca="false">Вводные!$B$23*(1-EXP(-S10/Вводные!$B$71))</f>
        <v>0.211368124099385</v>
      </c>
      <c r="T57" s="26" t="n">
        <f aca="false">Вводные!$B$23*(1-EXP(-T10/Вводные!$B$71))</f>
        <v>0.215247904009058</v>
      </c>
      <c r="U57" s="26" t="n">
        <f aca="false">Вводные!$B$23*(1-EXP(-U10/Вводные!$B$71))</f>
        <v>0.218762183661172</v>
      </c>
      <c r="V57" s="26" t="n">
        <f aca="false">Вводные!$B$23*(1-EXP(-V10/Вводные!$B$71))</f>
        <v>0.221943702532092</v>
      </c>
      <c r="W57" s="26" t="n">
        <f aca="false">Вводные!$B$23*(1-EXP(-W10/Вводные!$B$71))</f>
        <v>0.224821676798873</v>
      </c>
      <c r="X57" s="26" t="n">
        <f aca="false">Вводные!$B$23*(1-EXP(-X10/Вводные!$B$71))</f>
        <v>0.227422551883791</v>
      </c>
      <c r="Y57" s="26" t="n">
        <f aca="false">Вводные!$B$23*(1-EXP(-Y10/Вводные!$B$71))</f>
        <v>0.229770497976299</v>
      </c>
      <c r="Z57" s="26" t="n">
        <f aca="false">Вводные!$B$23*(1-EXP(-Z10/Вводные!$B$71))</f>
        <v>0.231887740056674</v>
      </c>
      <c r="AA57" s="26" t="n">
        <f aca="false">Вводные!$B$23*(1-EXP(-AA10/Вводные!$B$71))</f>
        <v>0.233794782359112</v>
      </c>
      <c r="AB57" s="26" t="n">
        <f aca="false">Вводные!$B$23*(1-EXP(-AB10/Вводные!$B$71))</f>
        <v>0.235510566568865</v>
      </c>
      <c r="AC57" s="26" t="n">
        <f aca="false">Вводные!$B$23*(1-EXP(-AC10/Вводные!$B$71))</f>
        <v>0.237052589376727</v>
      </c>
      <c r="AD57" s="26" t="n">
        <f aca="false">Вводные!$B$23*(1-EXP(-AD10/Вводные!$B$71))</f>
        <v>0.238436995891626</v>
      </c>
      <c r="AE57" s="26" t="n">
        <f aca="false">Вводные!$B$23*(1-EXP(-AE10/Вводные!$B$71))</f>
        <v>0.23967865931328</v>
      </c>
      <c r="AF57" s="26" t="n">
        <f aca="false">Вводные!$B$23*(1-EXP(-AF10/Вводные!$B$71))</f>
        <v>0.240791253205482</v>
      </c>
      <c r="AG57" s="26" t="n">
        <f aca="false">Вводные!$B$23*(1-EXP(-AG10/Вводные!$B$71))</f>
        <v>0.241787320033564</v>
      </c>
      <c r="AH57" s="26" t="n">
        <f aca="false">Вводные!$B$23*(1-EXP(-AH10/Вводные!$B$71))</f>
        <v>0.242678337896428</v>
      </c>
      <c r="AI57" s="26" t="n">
        <f aca="false">Вводные!$B$23*(1-EXP(-AI10/Вводные!$B$71))</f>
        <v>0.243474786292668</v>
      </c>
      <c r="AJ57" s="26" t="n">
        <f aca="false">Вводные!$B$23*(1-EXP(-AJ10/Вводные!$B$71))</f>
        <v>0.244186211103474</v>
      </c>
      <c r="AK57" s="26" t="n">
        <f aca="false">Вводные!$B$23*(1-EXP(-AK10/Вводные!$B$71))</f>
        <v>0.244821288607668</v>
      </c>
      <c r="AL57" s="26" t="n">
        <f aca="false">Вводные!$B$23*(1-EXP(-AL10/Вводные!$B$71))</f>
        <v>0.245387888166022</v>
      </c>
    </row>
    <row r="59" customFormat="false" ht="14.25" hidden="false" customHeight="false" outlineLevel="0" collapsed="false">
      <c r="A59" s="3" t="s">
        <v>196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customFormat="false" ht="14.25" hidden="false" customHeight="false" outlineLevel="0" collapsed="false">
      <c r="A60" s="1" t="s">
        <v>281</v>
      </c>
      <c r="B60" s="26" t="n">
        <f aca="false">IF(B$2=0,1,INT((B$2-1)/12)+1)</f>
        <v>1</v>
      </c>
      <c r="C60" s="26" t="n">
        <f aca="false">IF(C$2=0,1,INT((C$2-1)/12)+1)</f>
        <v>1</v>
      </c>
      <c r="D60" s="26" t="n">
        <f aca="false">IF(D$2=0,1,INT((D$2-1)/12)+1)</f>
        <v>1</v>
      </c>
      <c r="E60" s="26" t="n">
        <f aca="false">IF(E$2=0,1,INT((E$2-1)/12)+1)</f>
        <v>1</v>
      </c>
      <c r="F60" s="26" t="n">
        <f aca="false">IF(F$2=0,1,INT((F$2-1)/12)+1)</f>
        <v>1</v>
      </c>
      <c r="G60" s="26" t="n">
        <f aca="false">IF(G$2=0,1,INT((G$2-1)/12)+1)</f>
        <v>1</v>
      </c>
      <c r="H60" s="26" t="n">
        <f aca="false">IF(H$2=0,1,INT((H$2-1)/12)+1)</f>
        <v>1</v>
      </c>
      <c r="I60" s="26" t="n">
        <f aca="false">IF(I$2=0,1,INT((I$2-1)/12)+1)</f>
        <v>1</v>
      </c>
      <c r="J60" s="26" t="n">
        <f aca="false">IF(J$2=0,1,INT((J$2-1)/12)+1)</f>
        <v>1</v>
      </c>
      <c r="K60" s="26" t="n">
        <f aca="false">IF(K$2=0,1,INT((K$2-1)/12)+1)</f>
        <v>1</v>
      </c>
      <c r="L60" s="26" t="n">
        <f aca="false">IF(L$2=0,1,INT((L$2-1)/12)+1)</f>
        <v>1</v>
      </c>
      <c r="M60" s="26" t="n">
        <f aca="false">IF(M$2=0,1,INT((M$2-1)/12)+1)</f>
        <v>1</v>
      </c>
      <c r="N60" s="26" t="n">
        <f aca="false">IF(N$2=0,1,INT((N$2-1)/12)+1)</f>
        <v>1</v>
      </c>
      <c r="O60" s="26" t="n">
        <f aca="false">IF(O$2=0,1,INT((O$2-1)/12)+1)</f>
        <v>2</v>
      </c>
      <c r="P60" s="26" t="n">
        <f aca="false">IF(P$2=0,1,INT((P$2-1)/12)+1)</f>
        <v>2</v>
      </c>
      <c r="Q60" s="26" t="n">
        <f aca="false">IF(Q$2=0,1,INT((Q$2-1)/12)+1)</f>
        <v>2</v>
      </c>
      <c r="R60" s="26" t="n">
        <f aca="false">IF(R$2=0,1,INT((R$2-1)/12)+1)</f>
        <v>2</v>
      </c>
      <c r="S60" s="26" t="n">
        <f aca="false">IF(S$2=0,1,INT((S$2-1)/12)+1)</f>
        <v>2</v>
      </c>
      <c r="T60" s="26" t="n">
        <f aca="false">IF(T$2=0,1,INT((T$2-1)/12)+1)</f>
        <v>2</v>
      </c>
      <c r="U60" s="26" t="n">
        <f aca="false">IF(U$2=0,1,INT((U$2-1)/12)+1)</f>
        <v>2</v>
      </c>
      <c r="V60" s="26" t="n">
        <f aca="false">IF(V$2=0,1,INT((V$2-1)/12)+1)</f>
        <v>2</v>
      </c>
      <c r="W60" s="26" t="n">
        <f aca="false">IF(W$2=0,1,INT((W$2-1)/12)+1)</f>
        <v>2</v>
      </c>
      <c r="X60" s="26" t="n">
        <f aca="false">IF(X$2=0,1,INT((X$2-1)/12)+1)</f>
        <v>2</v>
      </c>
      <c r="Y60" s="26" t="n">
        <f aca="false">IF(Y$2=0,1,INT((Y$2-1)/12)+1)</f>
        <v>2</v>
      </c>
      <c r="Z60" s="26" t="n">
        <f aca="false">IF(Z$2=0,1,INT((Z$2-1)/12)+1)</f>
        <v>2</v>
      </c>
      <c r="AA60" s="26" t="n">
        <f aca="false">IF(AA$2=0,1,INT((AA$2-1)/12)+1)</f>
        <v>3</v>
      </c>
      <c r="AB60" s="26" t="n">
        <f aca="false">IF(AB$2=0,1,INT((AB$2-1)/12)+1)</f>
        <v>3</v>
      </c>
      <c r="AC60" s="26" t="n">
        <f aca="false">IF(AC$2=0,1,INT((AC$2-1)/12)+1)</f>
        <v>3</v>
      </c>
      <c r="AD60" s="26" t="n">
        <f aca="false">IF(AD$2=0,1,INT((AD$2-1)/12)+1)</f>
        <v>3</v>
      </c>
      <c r="AE60" s="26" t="n">
        <f aca="false">IF(AE$2=0,1,INT((AE$2-1)/12)+1)</f>
        <v>3</v>
      </c>
      <c r="AF60" s="26" t="n">
        <f aca="false">IF(AF$2=0,1,INT((AF$2-1)/12)+1)</f>
        <v>3</v>
      </c>
      <c r="AG60" s="26" t="n">
        <f aca="false">IF(AG$2=0,1,INT((AG$2-1)/12)+1)</f>
        <v>3</v>
      </c>
      <c r="AH60" s="26" t="n">
        <f aca="false">IF(AH$2=0,1,INT((AH$2-1)/12)+1)</f>
        <v>3</v>
      </c>
      <c r="AI60" s="26" t="n">
        <f aca="false">IF(AI$2=0,1,INT((AI$2-1)/12)+1)</f>
        <v>3</v>
      </c>
      <c r="AJ60" s="26" t="n">
        <f aca="false">IF(AJ$2=0,1,INT((AJ$2-1)/12)+1)</f>
        <v>3</v>
      </c>
      <c r="AK60" s="26" t="n">
        <f aca="false">IF(AK$2=0,1,INT((AK$2-1)/12)+1)</f>
        <v>3</v>
      </c>
      <c r="AL60" s="26" t="n">
        <f aca="false">IF(AL$2=0,1,INT((AL$2-1)/12)+1)</f>
        <v>3</v>
      </c>
    </row>
    <row r="61" customFormat="false" ht="14.25" hidden="false" customHeight="false" outlineLevel="0" collapsed="false">
      <c r="A61" s="1" t="s">
        <v>282</v>
      </c>
      <c r="B61" s="26" t="n">
        <f aca="false">0</f>
        <v>0</v>
      </c>
      <c r="C61" s="26" t="n">
        <f aca="false">IF(C60&lt;&gt;B60,0,B61+B24+B25)</f>
        <v>0</v>
      </c>
      <c r="D61" s="26" t="n">
        <f aca="false">IF(D60&lt;&gt;C60,0,C61+C24+C25)</f>
        <v>23477.2416635762</v>
      </c>
      <c r="E61" s="26" t="n">
        <f aca="false">IF(E60&lt;&gt;D60,0,D61+D24+D25)</f>
        <v>94435.7837246747</v>
      </c>
      <c r="F61" s="26" t="n">
        <f aca="false">IF(F60&lt;&gt;E60,0,E61+E24+E25)</f>
        <v>215728.969043789</v>
      </c>
      <c r="G61" s="26" t="n">
        <f aca="false">IF(G60&lt;&gt;F60,0,F61+F24+F25)</f>
        <v>434467.494623327</v>
      </c>
      <c r="H61" s="26" t="n">
        <f aca="false">IF(H60&lt;&gt;G60,0,G61+G24+G25)</f>
        <v>736084.756437704</v>
      </c>
      <c r="I61" s="26" t="n">
        <f aca="false">IF(I60&lt;&gt;H60,0,H61+H24+H25)</f>
        <v>1119958.94513889</v>
      </c>
      <c r="J61" s="26" t="n">
        <f aca="false">IF(J60&lt;&gt;I60,0,I61+I24+I25)</f>
        <v>1585350.88317042</v>
      </c>
      <c r="K61" s="26" t="n">
        <f aca="false">IF(K60&lt;&gt;J60,0,J61+J24+J25)</f>
        <v>2131201.44625339</v>
      </c>
      <c r="L61" s="26" t="n">
        <f aca="false">IF(L60&lt;&gt;K60,0,K61+K24+K25)</f>
        <v>2756116.80563025</v>
      </c>
      <c r="M61" s="26" t="n">
        <f aca="false">IF(M60&lt;&gt;L60,0,L61+L24+L25)</f>
        <v>3458418.7044008</v>
      </c>
      <c r="N61" s="26" t="n">
        <f aca="false">IF(N60&lt;&gt;M60,0,M61+M24+M25)</f>
        <v>4236206.50613919</v>
      </c>
      <c r="O61" s="26" t="n">
        <f aca="false">IF(O60&lt;&gt;N60,0,N61+N24+N25)</f>
        <v>0</v>
      </c>
      <c r="P61" s="26" t="n">
        <f aca="false">IF(P60&lt;&gt;O60,0,O61+O24+O25)</f>
        <v>924149.865877738</v>
      </c>
      <c r="Q61" s="26" t="n">
        <f aca="false">IF(Q60&lt;&gt;P60,0,P61+P24+P25)</f>
        <v>1921318.63408524</v>
      </c>
      <c r="R61" s="26" t="n">
        <f aca="false">IF(R60&lt;&gt;Q60,0,Q61+Q24+Q25)</f>
        <v>2991789.33288002</v>
      </c>
      <c r="S61" s="26" t="n">
        <f aca="false">IF(S60&lt;&gt;R60,0,R61+R24+R25)</f>
        <v>4135980.32879441</v>
      </c>
      <c r="T61" s="26" t="n">
        <f aca="false">IF(T60&lt;&gt;S60,0,S61+S24+S25)</f>
        <v>5354390.4373663</v>
      </c>
      <c r="U61" s="26" t="n">
        <f aca="false">IF(U60&lt;&gt;T60,0,T61+T24+T25)</f>
        <v>6647559.95780982</v>
      </c>
      <c r="V61" s="26" t="n">
        <f aca="false">IF(V60&lt;&gt;U60,0,U61+U24+U25)</f>
        <v>8016042.96496482</v>
      </c>
      <c r="W61" s="26" t="n">
        <f aca="false">IF(W60&lt;&gt;V60,0,V61+V24+V25)</f>
        <v>9460387.80451075</v>
      </c>
      <c r="X61" s="26" t="n">
        <f aca="false">IF(X60&lt;&gt;W60,0,W61+W24+W25)</f>
        <v>10981123.6163294</v>
      </c>
      <c r="Y61" s="26" t="n">
        <f aca="false">IF(Y60&lt;&gt;X60,0,X61+X24+X25)</f>
        <v>12578751.3060546</v>
      </c>
      <c r="Z61" s="26" t="n">
        <f aca="false">IF(Z60&lt;&gt;Y60,0,Y61+Y24+Y25)</f>
        <v>14253737.7978073</v>
      </c>
      <c r="AA61" s="26" t="n">
        <f aca="false">IF(AA60&lt;&gt;Z60,0,Z61+Z24+Z25)</f>
        <v>0</v>
      </c>
      <c r="AB61" s="26" t="n">
        <f aca="false">IF(AB60&lt;&gt;AA60,0,AA61+AA24+AA25)</f>
        <v>1830954.00182651</v>
      </c>
      <c r="AC61" s="26" t="n">
        <f aca="false">IF(AC60&lt;&gt;AB60,0,AB61+AB24+AB25)</f>
        <v>3740438.56653288</v>
      </c>
      <c r="AD61" s="26" t="n">
        <f aca="false">IF(AD60&lt;&gt;AC60,0,AC61+AC24+AC25)</f>
        <v>5728766.46120955</v>
      </c>
      <c r="AE61" s="26" t="n">
        <f aca="false">IF(AE60&lt;&gt;AD60,0,AD61+AD24+AD25)</f>
        <v>7796212.90240321</v>
      </c>
      <c r="AF61" s="26" t="n">
        <f aca="false">IF(AF60&lt;&gt;AE60,0,AE61+AE24+AE25)</f>
        <v>9943017.07944379</v>
      </c>
      <c r="AG61" s="26" t="n">
        <f aca="false">IF(AG60&lt;&gt;AF60,0,AF61+AF24+AF25)</f>
        <v>12169383.9015983</v>
      </c>
      <c r="AH61" s="26" t="n">
        <f aca="false">IF(AH60&lt;&gt;AG60,0,AG61+AG24+AG25)</f>
        <v>14475485.8532545</v>
      </c>
      <c r="AI61" s="26" t="n">
        <f aca="false">IF(AI60&lt;&gt;AH60,0,AH61+AH24+AH25)</f>
        <v>16861464.8739468</v>
      </c>
      <c r="AJ61" s="26" t="n">
        <f aca="false">IF(AJ60&lt;&gt;AI60,0,AI61+AI24+AI25)</f>
        <v>19327434.2050576</v>
      </c>
      <c r="AK61" s="26" t="n">
        <f aca="false">IF(AK60&lt;&gt;AJ60,0,AJ61+AJ24+AJ25)</f>
        <v>21873480.1640919</v>
      </c>
      <c r="AL61" s="26" t="n">
        <f aca="false">IF(AL60&lt;&gt;AK60,0,AK61+AK24+AK25)</f>
        <v>24499663.8218034</v>
      </c>
    </row>
    <row r="62" customFormat="false" ht="14.25" hidden="false" customHeight="false" outlineLevel="0" collapsed="false">
      <c r="A62" s="1" t="s">
        <v>283</v>
      </c>
      <c r="B62" s="26" t="n">
        <f aca="false">IF(OR(CHOOSE(B60,0,SUM($B$24:$N$25),SUM($O$24:$Z$25))&gt;CHOOSE(B60,Вводные!$B$74,Вводные!$B$75,Вводные!$B$76),B61&gt;CHOOSE(B60,Вводные!$B$74,Вводные!$B$75,Вводные!$B$76)),1,0)</f>
        <v>0</v>
      </c>
      <c r="C62" s="26" t="n">
        <f aca="false">IF(OR(CHOOSE(C60,0,SUM($B$24:$N$25),SUM($O$24:$Z$25))&gt;CHOOSE(C60,Вводные!$B$74,Вводные!$B$75,Вводные!$B$76),C61&gt;CHOOSE(C60,Вводные!$B$74,Вводные!$B$75,Вводные!$B$76)),1,0)</f>
        <v>0</v>
      </c>
      <c r="D62" s="26" t="n">
        <f aca="false">IF(OR(CHOOSE(D60,0,SUM($B$24:$N$25),SUM($O$24:$Z$25))&gt;CHOOSE(D60,Вводные!$B$74,Вводные!$B$75,Вводные!$B$76),D61&gt;CHOOSE(D60,Вводные!$B$74,Вводные!$B$75,Вводные!$B$76)),1,0)</f>
        <v>0</v>
      </c>
      <c r="E62" s="26" t="n">
        <f aca="false">IF(OR(CHOOSE(E60,0,SUM($B$24:$N$25),SUM($O$24:$Z$25))&gt;CHOOSE(E60,Вводные!$B$74,Вводные!$B$75,Вводные!$B$76),E61&gt;CHOOSE(E60,Вводные!$B$74,Вводные!$B$75,Вводные!$B$76)),1,0)</f>
        <v>0</v>
      </c>
      <c r="F62" s="26" t="n">
        <f aca="false">IF(OR(CHOOSE(F60,0,SUM($B$24:$N$25),SUM($O$24:$Z$25))&gt;CHOOSE(F60,Вводные!$B$74,Вводные!$B$75,Вводные!$B$76),F61&gt;CHOOSE(F60,Вводные!$B$74,Вводные!$B$75,Вводные!$B$76)),1,0)</f>
        <v>0</v>
      </c>
      <c r="G62" s="26" t="n">
        <f aca="false">IF(OR(CHOOSE(G60,0,SUM($B$24:$N$25),SUM($O$24:$Z$25))&gt;CHOOSE(G60,Вводные!$B$74,Вводные!$B$75,Вводные!$B$76),G61&gt;CHOOSE(G60,Вводные!$B$74,Вводные!$B$75,Вводные!$B$76)),1,0)</f>
        <v>0</v>
      </c>
      <c r="H62" s="26" t="n">
        <f aca="false">IF(OR(CHOOSE(H60,0,SUM($B$24:$N$25),SUM($O$24:$Z$25))&gt;CHOOSE(H60,Вводные!$B$74,Вводные!$B$75,Вводные!$B$76),H61&gt;CHOOSE(H60,Вводные!$B$74,Вводные!$B$75,Вводные!$B$76)),1,0)</f>
        <v>0</v>
      </c>
      <c r="I62" s="26" t="n">
        <f aca="false">IF(OR(CHOOSE(I60,0,SUM($B$24:$N$25),SUM($O$24:$Z$25))&gt;CHOOSE(I60,Вводные!$B$74,Вводные!$B$75,Вводные!$B$76),I61&gt;CHOOSE(I60,Вводные!$B$74,Вводные!$B$75,Вводные!$B$76)),1,0)</f>
        <v>0</v>
      </c>
      <c r="J62" s="26" t="n">
        <f aca="false">IF(OR(CHOOSE(J60,0,SUM($B$24:$N$25),SUM($O$24:$Z$25))&gt;CHOOSE(J60,Вводные!$B$74,Вводные!$B$75,Вводные!$B$76),J61&gt;CHOOSE(J60,Вводные!$B$74,Вводные!$B$75,Вводные!$B$76)),1,0)</f>
        <v>0</v>
      </c>
      <c r="K62" s="26" t="n">
        <f aca="false">IF(OR(CHOOSE(K60,0,SUM($B$24:$N$25),SUM($O$24:$Z$25))&gt;CHOOSE(K60,Вводные!$B$74,Вводные!$B$75,Вводные!$B$76),K61&gt;CHOOSE(K60,Вводные!$B$74,Вводные!$B$75,Вводные!$B$76)),1,0)</f>
        <v>0</v>
      </c>
      <c r="L62" s="26" t="n">
        <f aca="false">IF(OR(CHOOSE(L60,0,SUM($B$24:$N$25),SUM($O$24:$Z$25))&gt;CHOOSE(L60,Вводные!$B$74,Вводные!$B$75,Вводные!$B$76),L61&gt;CHOOSE(L60,Вводные!$B$74,Вводные!$B$75,Вводные!$B$76)),1,0)</f>
        <v>0</v>
      </c>
      <c r="M62" s="26" t="n">
        <f aca="false">IF(OR(CHOOSE(M60,0,SUM($B$24:$N$25),SUM($O$24:$Z$25))&gt;CHOOSE(M60,Вводные!$B$74,Вводные!$B$75,Вводные!$B$76),M61&gt;CHOOSE(M60,Вводные!$B$74,Вводные!$B$75,Вводные!$B$76)),1,0)</f>
        <v>0</v>
      </c>
      <c r="N62" s="26" t="n">
        <f aca="false">IF(OR(CHOOSE(N60,0,SUM($B$24:$N$25),SUM($O$24:$Z$25))&gt;CHOOSE(N60,Вводные!$B$74,Вводные!$B$75,Вводные!$B$76),N61&gt;CHOOSE(N60,Вводные!$B$74,Вводные!$B$75,Вводные!$B$76)),1,0)</f>
        <v>0</v>
      </c>
      <c r="O62" s="26" t="n">
        <f aca="false">IF(OR(CHOOSE(O60,0,SUM($B$24:$N$25),SUM($O$24:$Z$25))&gt;CHOOSE(O60,Вводные!$B$74,Вводные!$B$75,Вводные!$B$76),O61&gt;CHOOSE(O60,Вводные!$B$74,Вводные!$B$75,Вводные!$B$76)),1,0)</f>
        <v>0</v>
      </c>
      <c r="P62" s="26" t="n">
        <f aca="false">IF(OR(CHOOSE(P60,0,SUM($B$24:$N$25),SUM($O$24:$Z$25))&gt;CHOOSE(P60,Вводные!$B$74,Вводные!$B$75,Вводные!$B$76),P61&gt;CHOOSE(P60,Вводные!$B$74,Вводные!$B$75,Вводные!$B$76)),1,0)</f>
        <v>0</v>
      </c>
      <c r="Q62" s="26" t="n">
        <f aca="false">IF(OR(CHOOSE(Q60,0,SUM($B$24:$N$25),SUM($O$24:$Z$25))&gt;CHOOSE(Q60,Вводные!$B$74,Вводные!$B$75,Вводные!$B$76),Q61&gt;CHOOSE(Q60,Вводные!$B$74,Вводные!$B$75,Вводные!$B$76)),1,0)</f>
        <v>0</v>
      </c>
      <c r="R62" s="26" t="n">
        <f aca="false">IF(OR(CHOOSE(R60,0,SUM($B$24:$N$25),SUM($O$24:$Z$25))&gt;CHOOSE(R60,Вводные!$B$74,Вводные!$B$75,Вводные!$B$76),R61&gt;CHOOSE(R60,Вводные!$B$74,Вводные!$B$75,Вводные!$B$76)),1,0)</f>
        <v>0</v>
      </c>
      <c r="S62" s="26" t="n">
        <f aca="false">IF(OR(CHOOSE(S60,0,SUM($B$24:$N$25),SUM($O$24:$Z$25))&gt;CHOOSE(S60,Вводные!$B$74,Вводные!$B$75,Вводные!$B$76),S61&gt;CHOOSE(S60,Вводные!$B$74,Вводные!$B$75,Вводные!$B$76)),1,0)</f>
        <v>0</v>
      </c>
      <c r="T62" s="26" t="n">
        <f aca="false">IF(OR(CHOOSE(T60,0,SUM($B$24:$N$25),SUM($O$24:$Z$25))&gt;CHOOSE(T60,Вводные!$B$74,Вводные!$B$75,Вводные!$B$76),T61&gt;CHOOSE(T60,Вводные!$B$74,Вводные!$B$75,Вводные!$B$76)),1,0)</f>
        <v>0</v>
      </c>
      <c r="U62" s="26" t="n">
        <f aca="false">IF(OR(CHOOSE(U60,0,SUM($B$24:$N$25),SUM($O$24:$Z$25))&gt;CHOOSE(U60,Вводные!$B$74,Вводные!$B$75,Вводные!$B$76),U61&gt;CHOOSE(U60,Вводные!$B$74,Вводные!$B$75,Вводные!$B$76)),1,0)</f>
        <v>0</v>
      </c>
      <c r="V62" s="26" t="n">
        <f aca="false">IF(OR(CHOOSE(V60,0,SUM($B$24:$N$25),SUM($O$24:$Z$25))&gt;CHOOSE(V60,Вводные!$B$74,Вводные!$B$75,Вводные!$B$76),V61&gt;CHOOSE(V60,Вводные!$B$74,Вводные!$B$75,Вводные!$B$76)),1,0)</f>
        <v>0</v>
      </c>
      <c r="W62" s="26" t="n">
        <f aca="false">IF(OR(CHOOSE(W60,0,SUM($B$24:$N$25),SUM($O$24:$Z$25))&gt;CHOOSE(W60,Вводные!$B$74,Вводные!$B$75,Вводные!$B$76),W61&gt;CHOOSE(W60,Вводные!$B$74,Вводные!$B$75,Вводные!$B$76)),1,0)</f>
        <v>0</v>
      </c>
      <c r="X62" s="26" t="n">
        <f aca="false">IF(OR(CHOOSE(X60,0,SUM($B$24:$N$25),SUM($O$24:$Z$25))&gt;CHOOSE(X60,Вводные!$B$74,Вводные!$B$75,Вводные!$B$76),X61&gt;CHOOSE(X60,Вводные!$B$74,Вводные!$B$75,Вводные!$B$76)),1,0)</f>
        <v>0</v>
      </c>
      <c r="Y62" s="26" t="n">
        <f aca="false">IF(OR(CHOOSE(Y60,0,SUM($B$24:$N$25),SUM($O$24:$Z$25))&gt;CHOOSE(Y60,Вводные!$B$74,Вводные!$B$75,Вводные!$B$76),Y61&gt;CHOOSE(Y60,Вводные!$B$74,Вводные!$B$75,Вводные!$B$76)),1,0)</f>
        <v>0</v>
      </c>
      <c r="Z62" s="26" t="n">
        <f aca="false">IF(OR(CHOOSE(Z60,0,SUM($B$24:$N$25),SUM($O$24:$Z$25))&gt;CHOOSE(Z60,Вводные!$B$74,Вводные!$B$75,Вводные!$B$76),Z61&gt;CHOOSE(Z60,Вводные!$B$74,Вводные!$B$75,Вводные!$B$76)),1,0)</f>
        <v>0</v>
      </c>
      <c r="AA62" s="26" t="n">
        <f aca="false">IF(OR(CHOOSE(AA60,0,SUM($B$24:$N$25),SUM($O$24:$Z$25))&gt;CHOOSE(AA60,Вводные!$B$74,Вводные!$B$75,Вводные!$B$76),AA61&gt;CHOOSE(AA60,Вводные!$B$74,Вводные!$B$75,Вводные!$B$76)),1,0)</f>
        <v>1</v>
      </c>
      <c r="AB62" s="26" t="n">
        <f aca="false">IF(OR(CHOOSE(AB60,0,SUM($B$24:$N$25),SUM($O$24:$Z$25))&gt;CHOOSE(AB60,Вводные!$B$74,Вводные!$B$75,Вводные!$B$76),AB61&gt;CHOOSE(AB60,Вводные!$B$74,Вводные!$B$75,Вводные!$B$76)),1,0)</f>
        <v>1</v>
      </c>
      <c r="AC62" s="26" t="n">
        <f aca="false">IF(OR(CHOOSE(AC60,0,SUM($B$24:$N$25),SUM($O$24:$Z$25))&gt;CHOOSE(AC60,Вводные!$B$74,Вводные!$B$75,Вводные!$B$76),AC61&gt;CHOOSE(AC60,Вводные!$B$74,Вводные!$B$75,Вводные!$B$76)),1,0)</f>
        <v>1</v>
      </c>
      <c r="AD62" s="26" t="n">
        <f aca="false">IF(OR(CHOOSE(AD60,0,SUM($B$24:$N$25),SUM($O$24:$Z$25))&gt;CHOOSE(AD60,Вводные!$B$74,Вводные!$B$75,Вводные!$B$76),AD61&gt;CHOOSE(AD60,Вводные!$B$74,Вводные!$B$75,Вводные!$B$76)),1,0)</f>
        <v>1</v>
      </c>
      <c r="AE62" s="26" t="n">
        <f aca="false">IF(OR(CHOOSE(AE60,0,SUM($B$24:$N$25),SUM($O$24:$Z$25))&gt;CHOOSE(AE60,Вводные!$B$74,Вводные!$B$75,Вводные!$B$76),AE61&gt;CHOOSE(AE60,Вводные!$B$74,Вводные!$B$75,Вводные!$B$76)),1,0)</f>
        <v>1</v>
      </c>
      <c r="AF62" s="26" t="n">
        <f aca="false">IF(OR(CHOOSE(AF60,0,SUM($B$24:$N$25),SUM($O$24:$Z$25))&gt;CHOOSE(AF60,Вводные!$B$74,Вводные!$B$75,Вводные!$B$76),AF61&gt;CHOOSE(AF60,Вводные!$B$74,Вводные!$B$75,Вводные!$B$76)),1,0)</f>
        <v>1</v>
      </c>
      <c r="AG62" s="26" t="n">
        <f aca="false">IF(OR(CHOOSE(AG60,0,SUM($B$24:$N$25),SUM($O$24:$Z$25))&gt;CHOOSE(AG60,Вводные!$B$74,Вводные!$B$75,Вводные!$B$76),AG61&gt;CHOOSE(AG60,Вводные!$B$74,Вводные!$B$75,Вводные!$B$76)),1,0)</f>
        <v>1</v>
      </c>
      <c r="AH62" s="26" t="n">
        <f aca="false">IF(OR(CHOOSE(AH60,0,SUM($B$24:$N$25),SUM($O$24:$Z$25))&gt;CHOOSE(AH60,Вводные!$B$74,Вводные!$B$75,Вводные!$B$76),AH61&gt;CHOOSE(AH60,Вводные!$B$74,Вводные!$B$75,Вводные!$B$76)),1,0)</f>
        <v>1</v>
      </c>
      <c r="AI62" s="26" t="n">
        <f aca="false">IF(OR(CHOOSE(AI60,0,SUM($B$24:$N$25),SUM($O$24:$Z$25))&gt;CHOOSE(AI60,Вводные!$B$74,Вводные!$B$75,Вводные!$B$76),AI61&gt;CHOOSE(AI60,Вводные!$B$74,Вводные!$B$75,Вводные!$B$76)),1,0)</f>
        <v>1</v>
      </c>
      <c r="AJ62" s="26" t="n">
        <f aca="false">IF(OR(CHOOSE(AJ60,0,SUM($B$24:$N$25),SUM($O$24:$Z$25))&gt;CHOOSE(AJ60,Вводные!$B$74,Вводные!$B$75,Вводные!$B$76),AJ61&gt;CHOOSE(AJ60,Вводные!$B$74,Вводные!$B$75,Вводные!$B$76)),1,0)</f>
        <v>1</v>
      </c>
      <c r="AK62" s="26" t="n">
        <f aca="false">IF(OR(CHOOSE(AK60,0,SUM($B$24:$N$25),SUM($O$24:$Z$25))&gt;CHOOSE(AK60,Вводные!$B$74,Вводные!$B$75,Вводные!$B$76),AK61&gt;CHOOSE(AK60,Вводные!$B$74,Вводные!$B$75,Вводные!$B$76)),1,0)</f>
        <v>1</v>
      </c>
      <c r="AL62" s="26" t="n">
        <f aca="false">IF(OR(CHOOSE(AL60,0,SUM($B$24:$N$25),SUM($O$24:$Z$25))&gt;CHOOSE(AL60,Вводные!$B$74,Вводные!$B$75,Вводные!$B$76),AL61&gt;CHOOSE(AL60,Вводные!$B$74,Вводные!$B$75,Вводные!$B$76)),1,0)</f>
        <v>1</v>
      </c>
    </row>
  </sheetData>
  <conditionalFormatting sqref="B40:AL4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0.8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9" min="4" style="1" width="13"/>
    <col collapsed="false" customWidth="true" hidden="false" outlineLevel="0" max="10" min="10" style="1" width="80"/>
  </cols>
  <sheetData>
    <row r="1" customFormat="false" ht="27.75" hidden="false" customHeight="true" outlineLevel="0" collapsed="false">
      <c r="A1" s="2" t="s">
        <v>284</v>
      </c>
      <c r="B1" s="2" t="s">
        <v>285</v>
      </c>
      <c r="C1" s="2" t="s">
        <v>286</v>
      </c>
      <c r="D1" s="2" t="s">
        <v>287</v>
      </c>
      <c r="E1" s="2" t="s">
        <v>288</v>
      </c>
      <c r="F1" s="2" t="s">
        <v>289</v>
      </c>
      <c r="G1" s="2" t="s">
        <v>290</v>
      </c>
      <c r="H1" s="2" t="s">
        <v>291</v>
      </c>
      <c r="I1" s="2" t="s">
        <v>292</v>
      </c>
      <c r="J1" s="2" t="s">
        <v>293</v>
      </c>
    </row>
    <row r="2" customFormat="false" ht="43.5" hidden="false" customHeight="true" outlineLevel="0" collapsed="false">
      <c r="A2" s="8" t="s">
        <v>294</v>
      </c>
      <c r="B2" s="8" t="s">
        <v>295</v>
      </c>
      <c r="C2" s="8" t="s">
        <v>296</v>
      </c>
      <c r="D2" s="19" t="n">
        <v>3</v>
      </c>
      <c r="E2" s="28" t="n">
        <v>1</v>
      </c>
      <c r="F2" s="9" t="n">
        <f aca="false">D2*E2*10</f>
        <v>30</v>
      </c>
      <c r="G2" s="9" t="n">
        <f aca="false">D2*E2*18</f>
        <v>54</v>
      </c>
      <c r="H2" s="9" t="n">
        <f aca="false">D2*E2*12</f>
        <v>36</v>
      </c>
      <c r="I2" s="9" t="n">
        <f aca="false">D2*E2*8</f>
        <v>24</v>
      </c>
      <c r="J2" s="29" t="s">
        <v>297</v>
      </c>
    </row>
    <row r="3" customFormat="false" ht="43.5" hidden="false" customHeight="true" outlineLevel="0" collapsed="false">
      <c r="A3" s="8" t="s">
        <v>298</v>
      </c>
      <c r="B3" s="8" t="s">
        <v>295</v>
      </c>
      <c r="C3" s="8" t="s">
        <v>296</v>
      </c>
      <c r="D3" s="19" t="n">
        <v>2</v>
      </c>
      <c r="E3" s="28" t="n">
        <v>0.7</v>
      </c>
      <c r="F3" s="9" t="n">
        <f aca="false">D3*E3*10</f>
        <v>14</v>
      </c>
      <c r="G3" s="9" t="n">
        <f aca="false">D3*E3*18</f>
        <v>25.2</v>
      </c>
      <c r="H3" s="9" t="n">
        <f aca="false">D3*E3*12</f>
        <v>16.8</v>
      </c>
      <c r="I3" s="9" t="n">
        <f aca="false">D3*E3*8</f>
        <v>11.2</v>
      </c>
      <c r="J3" s="29" t="s">
        <v>299</v>
      </c>
    </row>
    <row r="4" customFormat="false" ht="43.5" hidden="false" customHeight="true" outlineLevel="0" collapsed="false">
      <c r="A4" s="8" t="s">
        <v>300</v>
      </c>
      <c r="B4" s="8" t="s">
        <v>295</v>
      </c>
      <c r="C4" s="8" t="s">
        <v>296</v>
      </c>
      <c r="D4" s="19" t="n">
        <v>4</v>
      </c>
      <c r="E4" s="28" t="n">
        <v>0.8</v>
      </c>
      <c r="F4" s="9" t="n">
        <f aca="false">D4*E4*10</f>
        <v>32</v>
      </c>
      <c r="G4" s="9" t="n">
        <f aca="false">D4*E4*18</f>
        <v>57.6</v>
      </c>
      <c r="H4" s="9" t="n">
        <f aca="false">D4*E4*12</f>
        <v>38.4</v>
      </c>
      <c r="I4" s="9" t="n">
        <f aca="false">D4*E4*8</f>
        <v>25.6</v>
      </c>
      <c r="J4" s="29" t="s">
        <v>301</v>
      </c>
    </row>
    <row r="5" customFormat="false" ht="43.5" hidden="false" customHeight="true" outlineLevel="0" collapsed="false">
      <c r="A5" s="8" t="s">
        <v>302</v>
      </c>
      <c r="B5" s="8" t="s">
        <v>303</v>
      </c>
      <c r="C5" s="8" t="s">
        <v>296</v>
      </c>
      <c r="D5" s="19" t="n">
        <v>4</v>
      </c>
      <c r="E5" s="28" t="n">
        <v>0.8</v>
      </c>
      <c r="F5" s="9" t="n">
        <f aca="false">D5*E5*10</f>
        <v>32</v>
      </c>
      <c r="G5" s="9" t="n">
        <f aca="false">D5*E5*18</f>
        <v>57.6</v>
      </c>
      <c r="H5" s="9" t="n">
        <f aca="false">D5*E5*12</f>
        <v>38.4</v>
      </c>
      <c r="I5" s="9" t="n">
        <f aca="false">D5*E5*8</f>
        <v>25.6</v>
      </c>
      <c r="J5" s="29" t="s">
        <v>304</v>
      </c>
    </row>
    <row r="6" customFormat="false" ht="43.5" hidden="false" customHeight="true" outlineLevel="0" collapsed="false">
      <c r="A6" s="8" t="s">
        <v>305</v>
      </c>
      <c r="B6" s="8" t="s">
        <v>295</v>
      </c>
      <c r="C6" s="8" t="s">
        <v>296</v>
      </c>
      <c r="D6" s="19" t="n">
        <v>3</v>
      </c>
      <c r="E6" s="28" t="n">
        <v>1.4</v>
      </c>
      <c r="F6" s="9" t="n">
        <f aca="false">D6*E6*10</f>
        <v>42</v>
      </c>
      <c r="G6" s="9" t="n">
        <f aca="false">D6*E6*18</f>
        <v>75.6</v>
      </c>
      <c r="H6" s="9" t="n">
        <f aca="false">D6*E6*12</f>
        <v>50.4</v>
      </c>
      <c r="I6" s="9" t="n">
        <f aca="false">D6*E6*8</f>
        <v>33.6</v>
      </c>
      <c r="J6" s="29" t="s">
        <v>306</v>
      </c>
    </row>
    <row r="7" customFormat="false" ht="43.5" hidden="false" customHeight="true" outlineLevel="0" collapsed="false">
      <c r="A7" s="8" t="s">
        <v>307</v>
      </c>
      <c r="B7" s="8" t="s">
        <v>303</v>
      </c>
      <c r="C7" s="8" t="s">
        <v>296</v>
      </c>
      <c r="D7" s="19" t="n">
        <v>2</v>
      </c>
      <c r="E7" s="28" t="n">
        <v>0.9</v>
      </c>
      <c r="F7" s="9" t="n">
        <f aca="false">D7*E7*10</f>
        <v>18</v>
      </c>
      <c r="G7" s="9" t="n">
        <f aca="false">D7*E7*18</f>
        <v>32.4</v>
      </c>
      <c r="H7" s="9" t="n">
        <f aca="false">D7*E7*12</f>
        <v>21.6</v>
      </c>
      <c r="I7" s="9" t="n">
        <f aca="false">D7*E7*8</f>
        <v>14.4</v>
      </c>
      <c r="J7" s="29" t="s">
        <v>308</v>
      </c>
    </row>
    <row r="8" customFormat="false" ht="43.5" hidden="false" customHeight="true" outlineLevel="0" collapsed="false">
      <c r="A8" s="8" t="s">
        <v>309</v>
      </c>
      <c r="B8" s="8" t="s">
        <v>310</v>
      </c>
      <c r="C8" s="8" t="s">
        <v>296</v>
      </c>
      <c r="D8" s="19" t="n">
        <v>2</v>
      </c>
      <c r="E8" s="28" t="n">
        <v>1</v>
      </c>
      <c r="F8" s="9" t="n">
        <f aca="false">D8*E8*10</f>
        <v>20</v>
      </c>
      <c r="G8" s="9" t="n">
        <f aca="false">D8*E8*18</f>
        <v>36</v>
      </c>
      <c r="H8" s="9" t="n">
        <f aca="false">D8*E8*12</f>
        <v>24</v>
      </c>
      <c r="I8" s="9" t="n">
        <f aca="false">D8*E8*8</f>
        <v>16</v>
      </c>
      <c r="J8" s="29" t="s">
        <v>311</v>
      </c>
    </row>
    <row r="9" customFormat="false" ht="43.5" hidden="false" customHeight="true" outlineLevel="0" collapsed="false">
      <c r="A9" s="8" t="s">
        <v>312</v>
      </c>
      <c r="B9" s="8" t="s">
        <v>295</v>
      </c>
      <c r="C9" s="8" t="s">
        <v>296</v>
      </c>
      <c r="D9" s="19" t="n">
        <v>2</v>
      </c>
      <c r="E9" s="28" t="n">
        <v>1</v>
      </c>
      <c r="F9" s="9" t="n">
        <f aca="false">D9*E9*10</f>
        <v>20</v>
      </c>
      <c r="G9" s="9" t="n">
        <f aca="false">D9*E9*18</f>
        <v>36</v>
      </c>
      <c r="H9" s="9" t="n">
        <f aca="false">D9*E9*12</f>
        <v>24</v>
      </c>
      <c r="I9" s="9" t="n">
        <f aca="false">D9*E9*8</f>
        <v>16</v>
      </c>
      <c r="J9" s="29" t="s">
        <v>313</v>
      </c>
    </row>
    <row r="10" customFormat="false" ht="43.5" hidden="false" customHeight="true" outlineLevel="0" collapsed="false">
      <c r="A10" s="8" t="s">
        <v>314</v>
      </c>
      <c r="B10" s="8" t="s">
        <v>315</v>
      </c>
      <c r="C10" s="8" t="s">
        <v>296</v>
      </c>
      <c r="D10" s="19" t="n">
        <v>3</v>
      </c>
      <c r="E10" s="28" t="n">
        <v>1</v>
      </c>
      <c r="F10" s="9" t="n">
        <f aca="false">D10*E10*10</f>
        <v>30</v>
      </c>
      <c r="G10" s="9" t="n">
        <f aca="false">D10*E10*18</f>
        <v>54</v>
      </c>
      <c r="H10" s="9" t="n">
        <f aca="false">D10*E10*12</f>
        <v>36</v>
      </c>
      <c r="I10" s="9" t="n">
        <f aca="false">D10*E10*8</f>
        <v>24</v>
      </c>
      <c r="J10" s="29" t="s">
        <v>316</v>
      </c>
    </row>
    <row r="11" customFormat="false" ht="43.5" hidden="false" customHeight="true" outlineLevel="0" collapsed="false">
      <c r="A11" s="8" t="s">
        <v>317</v>
      </c>
      <c r="B11" s="8" t="s">
        <v>318</v>
      </c>
      <c r="C11" s="8" t="s">
        <v>296</v>
      </c>
      <c r="D11" s="19" t="n">
        <v>3</v>
      </c>
      <c r="E11" s="28" t="n">
        <v>1</v>
      </c>
      <c r="F11" s="9" t="n">
        <f aca="false">D11*E11*10</f>
        <v>30</v>
      </c>
      <c r="G11" s="9" t="n">
        <f aca="false">D11*E11*18</f>
        <v>54</v>
      </c>
      <c r="H11" s="9" t="n">
        <f aca="false">D11*E11*12</f>
        <v>36</v>
      </c>
      <c r="I11" s="9" t="n">
        <f aca="false">D11*E11*8</f>
        <v>24</v>
      </c>
      <c r="J11" s="29" t="s">
        <v>319</v>
      </c>
    </row>
    <row r="12" customFormat="false" ht="43.5" hidden="false" customHeight="true" outlineLevel="0" collapsed="false">
      <c r="A12" s="8" t="s">
        <v>320</v>
      </c>
      <c r="B12" s="8" t="s">
        <v>303</v>
      </c>
      <c r="C12" s="8" t="s">
        <v>296</v>
      </c>
      <c r="D12" s="19" t="n">
        <v>2</v>
      </c>
      <c r="E12" s="28" t="n">
        <v>0.5</v>
      </c>
      <c r="F12" s="9" t="n">
        <f aca="false">D12*E12*10</f>
        <v>10</v>
      </c>
      <c r="G12" s="9" t="n">
        <f aca="false">D12*E12*18</f>
        <v>18</v>
      </c>
      <c r="H12" s="9" t="n">
        <f aca="false">D12*E12*12</f>
        <v>12</v>
      </c>
      <c r="I12" s="9" t="n">
        <f aca="false">D12*E12*8</f>
        <v>8</v>
      </c>
      <c r="J12" s="29" t="s">
        <v>321</v>
      </c>
    </row>
    <row r="13" customFormat="false" ht="43.5" hidden="false" customHeight="true" outlineLevel="0" collapsed="false">
      <c r="A13" s="8" t="s">
        <v>322</v>
      </c>
      <c r="B13" s="8" t="s">
        <v>295</v>
      </c>
      <c r="C13" s="8" t="s">
        <v>296</v>
      </c>
      <c r="D13" s="19" t="n">
        <v>2</v>
      </c>
      <c r="E13" s="28" t="n">
        <v>0.6</v>
      </c>
      <c r="F13" s="9" t="n">
        <f aca="false">D13*E13*10</f>
        <v>12</v>
      </c>
      <c r="G13" s="9" t="n">
        <f aca="false">D13*E13*18</f>
        <v>21.6</v>
      </c>
      <c r="H13" s="9" t="n">
        <f aca="false">D13*E13*12</f>
        <v>14.4</v>
      </c>
      <c r="I13" s="9" t="n">
        <f aca="false">D13*E13*8</f>
        <v>9.6</v>
      </c>
      <c r="J13" s="29" t="s">
        <v>323</v>
      </c>
    </row>
    <row r="14" customFormat="false" ht="43.5" hidden="false" customHeight="true" outlineLevel="0" collapsed="false">
      <c r="A14" s="8" t="s">
        <v>324</v>
      </c>
      <c r="B14" s="8" t="s">
        <v>310</v>
      </c>
      <c r="C14" s="8" t="s">
        <v>325</v>
      </c>
      <c r="D14" s="19" t="n">
        <v>4</v>
      </c>
      <c r="E14" s="28" t="n">
        <v>0.5</v>
      </c>
      <c r="F14" s="9" t="n">
        <f aca="false">D14*E14*10</f>
        <v>20</v>
      </c>
      <c r="G14" s="9" t="n">
        <f aca="false">D14*E14*18</f>
        <v>36</v>
      </c>
      <c r="H14" s="9" t="n">
        <f aca="false">D14*E14*12</f>
        <v>24</v>
      </c>
      <c r="I14" s="9" t="n">
        <f aca="false">D14*E14*8</f>
        <v>16</v>
      </c>
      <c r="J14" s="29" t="s">
        <v>326</v>
      </c>
    </row>
    <row r="15" customFormat="false" ht="15" hidden="false" customHeight="true" outlineLevel="0" collapsed="false">
      <c r="A15" s="5" t="s">
        <v>327</v>
      </c>
      <c r="D15" s="6" t="n">
        <f aca="false">SUMIF($C$2:$C$14,"MVP",D2:D14)</f>
        <v>32</v>
      </c>
      <c r="E15" s="6" t="n">
        <f aca="false">SUMIF($C$2:$C$14,"MVP",E2:E14)</f>
        <v>10.7</v>
      </c>
      <c r="F15" s="6" t="n">
        <f aca="false">SUMIF($C$2:$C$14,"MVP",F2:F14)</f>
        <v>290</v>
      </c>
      <c r="G15" s="6" t="n">
        <f aca="false">SUMIF($C$2:$C$14,"MVP",G2:G14)</f>
        <v>522</v>
      </c>
      <c r="H15" s="6" t="n">
        <f aca="false">SUMIF($C$2:$C$14,"MVP",H2:H14)</f>
        <v>348</v>
      </c>
      <c r="I15" s="6" t="n">
        <f aca="false">SUMIF($C$2:$C$14,"MVP",I2:I14)</f>
        <v>232</v>
      </c>
    </row>
    <row r="17" customFormat="false" ht="60" hidden="false" customHeight="true" outlineLevel="0" collapsed="false">
      <c r="A17" s="30" t="s">
        <v>328</v>
      </c>
      <c r="B17" s="30"/>
      <c r="C17" s="30"/>
      <c r="D17" s="30"/>
      <c r="E17" s="30"/>
      <c r="F17" s="30"/>
      <c r="G17" s="30"/>
      <c r="H17" s="30"/>
      <c r="I17" s="30"/>
    </row>
  </sheetData>
  <mergeCells count="1"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3.88"/>
    <col collapsed="false" customWidth="true" hidden="false" outlineLevel="0" max="9" min="2" style="1" width="15"/>
    <col collapsed="false" customWidth="true" hidden="false" outlineLevel="0" max="10" min="10" style="1" width="85"/>
  </cols>
  <sheetData>
    <row r="1" customFormat="false" ht="27.75" hidden="false" customHeight="true" outlineLevel="0" collapsed="false">
      <c r="A1" s="2" t="s">
        <v>329</v>
      </c>
      <c r="B1" s="2" t="s">
        <v>330</v>
      </c>
      <c r="C1" s="2" t="s">
        <v>331</v>
      </c>
      <c r="D1" s="2" t="s">
        <v>332</v>
      </c>
      <c r="E1" s="2" t="s">
        <v>333</v>
      </c>
      <c r="F1" s="2" t="s">
        <v>334</v>
      </c>
      <c r="G1" s="2" t="s">
        <v>335</v>
      </c>
      <c r="H1" s="2" t="s">
        <v>336</v>
      </c>
      <c r="I1" s="2" t="s">
        <v>337</v>
      </c>
      <c r="J1" s="2" t="s">
        <v>338</v>
      </c>
    </row>
    <row r="2" customFormat="false" ht="43.5" hidden="false" customHeight="true" outlineLevel="0" collapsed="false">
      <c r="A2" s="8" t="s">
        <v>339</v>
      </c>
      <c r="B2" s="17" t="n">
        <v>260000</v>
      </c>
      <c r="C2" s="9" t="n">
        <f aca="false">B2/160</f>
        <v>1625</v>
      </c>
      <c r="D2" s="17" t="n">
        <v>240</v>
      </c>
      <c r="E2" s="9" t="n">
        <v>0</v>
      </c>
      <c r="F2" s="9" t="n">
        <f aca="false">D2+E2</f>
        <v>240</v>
      </c>
      <c r="G2" s="9" t="n">
        <f aca="false">C2*F2</f>
        <v>390000</v>
      </c>
      <c r="H2" s="9" t="n">
        <f aca="false">G2*Вводные!$B$31</f>
        <v>117000</v>
      </c>
      <c r="I2" s="9" t="n">
        <f aca="false">G2+H2</f>
        <v>507000</v>
      </c>
      <c r="J2" s="29" t="s">
        <v>340</v>
      </c>
    </row>
    <row r="3" customFormat="false" ht="43.5" hidden="false" customHeight="true" outlineLevel="0" collapsed="false">
      <c r="A3" s="8" t="s">
        <v>341</v>
      </c>
      <c r="B3" s="17" t="n">
        <v>120000</v>
      </c>
      <c r="C3" s="9" t="n">
        <f aca="false">B3/160</f>
        <v>750</v>
      </c>
      <c r="D3" s="17" t="n">
        <v>0</v>
      </c>
      <c r="E3" s="31" t="n">
        <f aca="false">Функции!F15</f>
        <v>290</v>
      </c>
      <c r="F3" s="9" t="n">
        <f aca="false">(D3+E3)*(1-Вводные!$B$34)</f>
        <v>174</v>
      </c>
      <c r="G3" s="9" t="n">
        <f aca="false">C3*F3</f>
        <v>130500</v>
      </c>
      <c r="H3" s="9" t="n">
        <f aca="false">G3*Вводные!$B$31</f>
        <v>39150</v>
      </c>
      <c r="I3" s="9" t="n">
        <f aca="false">G3+H3</f>
        <v>169650</v>
      </c>
      <c r="J3" s="29" t="s">
        <v>342</v>
      </c>
    </row>
    <row r="4" customFormat="false" ht="43.5" hidden="false" customHeight="true" outlineLevel="0" collapsed="false">
      <c r="A4" s="8" t="s">
        <v>343</v>
      </c>
      <c r="B4" s="17" t="n">
        <v>270000</v>
      </c>
      <c r="C4" s="9" t="n">
        <f aca="false">B4/160</f>
        <v>1687.5</v>
      </c>
      <c r="D4" s="17" t="n">
        <v>80</v>
      </c>
      <c r="E4" s="31" t="n">
        <f aca="false">Функции!G15</f>
        <v>522</v>
      </c>
      <c r="F4" s="9" t="n">
        <f aca="false">(D4+E4)*(1-Вводные!$B$34)</f>
        <v>361.2</v>
      </c>
      <c r="G4" s="9" t="n">
        <f aca="false">C4*F4</f>
        <v>609525</v>
      </c>
      <c r="H4" s="9" t="n">
        <f aca="false">G4*Вводные!$B$31</f>
        <v>182857.5</v>
      </c>
      <c r="I4" s="9" t="n">
        <f aca="false">G4+H4</f>
        <v>792382.5</v>
      </c>
      <c r="J4" s="29" t="s">
        <v>344</v>
      </c>
    </row>
    <row r="5" customFormat="false" ht="43.5" hidden="false" customHeight="true" outlineLevel="0" collapsed="false">
      <c r="A5" s="8" t="s">
        <v>345</v>
      </c>
      <c r="B5" s="17" t="n">
        <v>278000</v>
      </c>
      <c r="C5" s="9" t="n">
        <f aca="false">B5/160</f>
        <v>1737.5</v>
      </c>
      <c r="D5" s="17" t="n">
        <v>240</v>
      </c>
      <c r="E5" s="31" t="n">
        <f aca="false">Функции!H15</f>
        <v>348</v>
      </c>
      <c r="F5" s="9" t="n">
        <f aca="false">(D5+E5)*(1-Вводные!$B$34)</f>
        <v>352.8</v>
      </c>
      <c r="G5" s="9" t="n">
        <f aca="false">C5*F5</f>
        <v>612990</v>
      </c>
      <c r="H5" s="9" t="n">
        <f aca="false">G5*Вводные!$B$31</f>
        <v>183897</v>
      </c>
      <c r="I5" s="9" t="n">
        <f aca="false">G5+H5</f>
        <v>796887</v>
      </c>
      <c r="J5" s="29" t="s">
        <v>346</v>
      </c>
    </row>
    <row r="6" customFormat="false" ht="43.5" hidden="false" customHeight="true" outlineLevel="0" collapsed="false">
      <c r="A6" s="8" t="s">
        <v>347</v>
      </c>
      <c r="B6" s="17" t="n">
        <v>163000</v>
      </c>
      <c r="C6" s="9" t="n">
        <f aca="false">B6/160</f>
        <v>1018.75</v>
      </c>
      <c r="D6" s="17" t="n">
        <v>40</v>
      </c>
      <c r="E6" s="31" t="n">
        <f aca="false">Функции!I15</f>
        <v>232</v>
      </c>
      <c r="F6" s="9" t="n">
        <f aca="false">(D6+E6)*(1-Вводные!$B$34)</f>
        <v>163.2</v>
      </c>
      <c r="G6" s="9" t="n">
        <f aca="false">C6*F6</f>
        <v>166260</v>
      </c>
      <c r="H6" s="9" t="n">
        <f aca="false">G6*Вводные!$B$31</f>
        <v>49878</v>
      </c>
      <c r="I6" s="9" t="n">
        <f aca="false">G6+H6</f>
        <v>216138</v>
      </c>
      <c r="J6" s="29" t="s">
        <v>348</v>
      </c>
    </row>
    <row r="7" customFormat="false" ht="43.5" hidden="false" customHeight="true" outlineLevel="0" collapsed="false">
      <c r="A7" s="8" t="s">
        <v>349</v>
      </c>
      <c r="B7" s="17" t="n">
        <v>229000</v>
      </c>
      <c r="C7" s="9" t="n">
        <f aca="false">B7/160</f>
        <v>1431.25</v>
      </c>
      <c r="D7" s="17" t="n">
        <v>80</v>
      </c>
      <c r="E7" s="9" t="n">
        <v>0</v>
      </c>
      <c r="F7" s="9" t="n">
        <f aca="false">(D7+E7)*(1-Вводные!$B$34)</f>
        <v>48</v>
      </c>
      <c r="G7" s="9" t="n">
        <f aca="false">C7*F7</f>
        <v>68700</v>
      </c>
      <c r="H7" s="9" t="n">
        <f aca="false">G7*Вводные!$B$31</f>
        <v>20610</v>
      </c>
      <c r="I7" s="9" t="n">
        <f aca="false">G7+H7</f>
        <v>89310</v>
      </c>
      <c r="J7" s="29" t="s">
        <v>350</v>
      </c>
    </row>
    <row r="8" customFormat="false" ht="15" hidden="false" customHeight="true" outlineLevel="0" collapsed="false">
      <c r="A8" s="5" t="s">
        <v>351</v>
      </c>
      <c r="F8" s="6" t="n">
        <f aca="false">SUM(F2:F7)</f>
        <v>1339.2</v>
      </c>
      <c r="G8" s="6" t="n">
        <f aca="false">SUM(G2:G7)</f>
        <v>1977975</v>
      </c>
      <c r="H8" s="6" t="n">
        <f aca="false">SUM(H2:H7)</f>
        <v>593392.5</v>
      </c>
      <c r="I8" s="6" t="n">
        <f aca="false">SUM(I2:I7)</f>
        <v>2571367.5</v>
      </c>
    </row>
    <row r="9" customFormat="false" ht="15" hidden="false" customHeight="true" outlineLevel="0" collapsed="false">
      <c r="A9" s="8" t="s">
        <v>352</v>
      </c>
      <c r="F9" s="9" t="n">
        <f aca="false">F8*Вводные!$B$32</f>
        <v>267.84</v>
      </c>
      <c r="I9" s="9" t="n">
        <f aca="false">I8*Вводные!$B$32</f>
        <v>514273.5</v>
      </c>
    </row>
    <row r="10" customFormat="false" ht="15" hidden="false" customHeight="true" outlineLevel="0" collapsed="false">
      <c r="A10" s="5" t="s">
        <v>353</v>
      </c>
      <c r="F10" s="32" t="n">
        <f aca="false">F8+F9</f>
        <v>1607.04</v>
      </c>
      <c r="I10" s="6" t="n">
        <f aca="false">I8+I9</f>
        <v>3085641</v>
      </c>
    </row>
    <row r="12" customFormat="false" ht="45" hidden="false" customHeight="true" outlineLevel="0" collapsed="false">
      <c r="A12" s="30" t="s">
        <v>354</v>
      </c>
      <c r="B12" s="30"/>
      <c r="C12" s="30"/>
      <c r="D12" s="30"/>
      <c r="E12" s="30"/>
      <c r="F12" s="30"/>
      <c r="G12" s="30"/>
      <c r="H12" s="30"/>
      <c r="I12" s="30"/>
    </row>
    <row r="14" customFormat="false" ht="30" hidden="false" customHeight="true" outlineLevel="0" collapsed="false">
      <c r="A14" s="5" t="s">
        <v>355</v>
      </c>
    </row>
    <row r="15" customFormat="false" ht="30" hidden="false" customHeight="true" outlineLevel="0" collapsed="false">
      <c r="A15" s="1" t="s">
        <v>356</v>
      </c>
      <c r="F15" s="32" t="n">
        <f aca="false">F10</f>
        <v>1607.04</v>
      </c>
    </row>
    <row r="16" customFormat="false" ht="30" hidden="false" customHeight="true" outlineLevel="0" collapsed="false">
      <c r="A16" s="1" t="s">
        <v>357</v>
      </c>
      <c r="F16" s="17" t="n">
        <v>1920</v>
      </c>
      <c r="J16" s="29" t="s">
        <v>358</v>
      </c>
    </row>
    <row r="17" customFormat="false" ht="30" hidden="false" customHeight="true" outlineLevel="0" collapsed="false">
      <c r="A17" s="1" t="s">
        <v>359</v>
      </c>
      <c r="F17" s="1" t="s">
        <v>360</v>
      </c>
      <c r="J17" s="29" t="s">
        <v>361</v>
      </c>
    </row>
    <row r="18" customFormat="false" ht="30" hidden="false" customHeight="true" outlineLevel="0" collapsed="false">
      <c r="A18" s="1" t="s">
        <v>362</v>
      </c>
      <c r="F18" s="33" t="n">
        <f aca="false">I10/1000000</f>
        <v>3.085641</v>
      </c>
    </row>
  </sheetData>
  <mergeCells count="1"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75.11"/>
    <col collapsed="false" customWidth="true" hidden="false" outlineLevel="0" max="5" min="3" style="1" width="18"/>
  </cols>
  <sheetData>
    <row r="1" customFormat="false" ht="15" hidden="false" customHeight="true" outlineLevel="0" collapsed="false">
      <c r="A1" s="2" t="s">
        <v>363</v>
      </c>
      <c r="B1" s="2" t="s">
        <v>364</v>
      </c>
      <c r="C1" s="2" t="s">
        <v>365</v>
      </c>
      <c r="D1" s="2" t="s">
        <v>366</v>
      </c>
    </row>
    <row r="2" customFormat="false" ht="15" hidden="false" customHeight="true" outlineLevel="0" collapsed="false">
      <c r="A2" s="8" t="s">
        <v>367</v>
      </c>
      <c r="B2" s="7" t="s">
        <v>368</v>
      </c>
      <c r="C2" s="31" t="n">
        <f aca="false">Вводные!$B$33*Разработка!$B$4*(1+Вводные!$B$31)*12</f>
        <v>1053000</v>
      </c>
      <c r="D2" s="9" t="n">
        <f aca="false">C2/12</f>
        <v>87750</v>
      </c>
    </row>
    <row r="3" customFormat="false" ht="15" hidden="false" customHeight="true" outlineLevel="0" collapsed="false">
      <c r="A3" s="8" t="s">
        <v>369</v>
      </c>
      <c r="B3" s="7" t="s">
        <v>370</v>
      </c>
      <c r="C3" s="9" t="n">
        <f aca="false">SUM(E14:E16)*12</f>
        <v>204948</v>
      </c>
      <c r="D3" s="9" t="n">
        <f aca="false">C3/12</f>
        <v>17079</v>
      </c>
    </row>
    <row r="4" customFormat="false" ht="15" hidden="false" customHeight="true" outlineLevel="0" collapsed="false">
      <c r="A4" s="8" t="s">
        <v>371</v>
      </c>
      <c r="B4" s="7" t="s">
        <v>372</v>
      </c>
      <c r="C4" s="9" t="n">
        <f aca="false">SUM(E17:E18)*12</f>
        <v>1560000</v>
      </c>
      <c r="D4" s="9" t="n">
        <f aca="false">C4/12</f>
        <v>130000</v>
      </c>
    </row>
    <row r="5" customFormat="false" ht="15" hidden="false" customHeight="true" outlineLevel="0" collapsed="false">
      <c r="A5" s="8" t="s">
        <v>373</v>
      </c>
      <c r="B5" s="7" t="s">
        <v>374</v>
      </c>
      <c r="C5" s="9" t="n">
        <f aca="false">E19*12</f>
        <v>1528800</v>
      </c>
      <c r="D5" s="9" t="n">
        <f aca="false">C5/12</f>
        <v>127400</v>
      </c>
    </row>
    <row r="6" customFormat="false" ht="15" hidden="false" customHeight="true" outlineLevel="0" collapsed="false">
      <c r="A6" s="8" t="s">
        <v>375</v>
      </c>
      <c r="B6" s="7" t="s">
        <v>376</v>
      </c>
      <c r="C6" s="9" t="n">
        <f aca="false">SUM(E20:E21)*12</f>
        <v>154720</v>
      </c>
      <c r="D6" s="9" t="n">
        <f aca="false">C6/12</f>
        <v>12893.3333333333</v>
      </c>
    </row>
    <row r="7" customFormat="false" ht="15" hidden="false" customHeight="true" outlineLevel="0" collapsed="false">
      <c r="A7" s="5" t="s">
        <v>377</v>
      </c>
      <c r="C7" s="6" t="n">
        <f aca="false">SUM(C2:C6)</f>
        <v>4501468</v>
      </c>
      <c r="D7" s="6" t="n">
        <f aca="false">SUM(D2:D6)</f>
        <v>375122.333333333</v>
      </c>
    </row>
    <row r="9" customFormat="false" ht="27.75" hidden="false" customHeight="true" outlineLevel="0" collapsed="false">
      <c r="A9" s="2" t="s">
        <v>378</v>
      </c>
      <c r="B9" s="2"/>
      <c r="C9" s="2" t="s">
        <v>379</v>
      </c>
      <c r="D9" s="2" t="s">
        <v>380</v>
      </c>
    </row>
    <row r="10" customFormat="false" ht="15" hidden="false" customHeight="true" outlineLevel="0" collapsed="false">
      <c r="A10" s="8" t="s">
        <v>381</v>
      </c>
      <c r="B10" s="7" t="s">
        <v>382</v>
      </c>
      <c r="C10" s="11" t="n">
        <f aca="false">C24/60*C25+C26</f>
        <v>203.0625</v>
      </c>
      <c r="D10" s="8" t="s">
        <v>383</v>
      </c>
    </row>
    <row r="11" customFormat="false" ht="15" hidden="false" customHeight="true" outlineLevel="0" collapsed="false">
      <c r="A11" s="8" t="s">
        <v>384</v>
      </c>
      <c r="B11" s="7" t="s">
        <v>385</v>
      </c>
      <c r="C11" s="11" t="n">
        <f aca="false">C26*C27</f>
        <v>1.2</v>
      </c>
      <c r="D11" s="8" t="s">
        <v>386</v>
      </c>
    </row>
    <row r="13" customFormat="false" ht="14.25" hidden="false" customHeight="true" outlineLevel="0" collapsed="false">
      <c r="A13" s="2" t="s">
        <v>387</v>
      </c>
      <c r="B13" s="34" t="s">
        <v>338</v>
      </c>
      <c r="C13" s="2" t="s">
        <v>388</v>
      </c>
      <c r="D13" s="2" t="s">
        <v>389</v>
      </c>
      <c r="E13" s="2" t="s">
        <v>390</v>
      </c>
    </row>
    <row r="14" customFormat="false" ht="31.5" hidden="false" customHeight="true" outlineLevel="0" collapsed="false">
      <c r="A14" s="7" t="s">
        <v>391</v>
      </c>
      <c r="B14" s="7" t="s">
        <v>392</v>
      </c>
      <c r="C14" s="17" t="n">
        <v>5480</v>
      </c>
      <c r="D14" s="19" t="n">
        <v>3</v>
      </c>
      <c r="E14" s="9" t="n">
        <f aca="false">C14*D14</f>
        <v>16440</v>
      </c>
    </row>
    <row r="15" customFormat="false" ht="31.5" hidden="false" customHeight="true" outlineLevel="0" collapsed="false">
      <c r="A15" s="7" t="s">
        <v>393</v>
      </c>
      <c r="B15" s="7" t="s">
        <v>394</v>
      </c>
      <c r="C15" s="17" t="n">
        <v>639</v>
      </c>
      <c r="D15" s="19" t="n">
        <v>1</v>
      </c>
      <c r="E15" s="9" t="n">
        <f aca="false">C15*D15</f>
        <v>639</v>
      </c>
    </row>
    <row r="16" customFormat="false" ht="31.5" hidden="false" customHeight="true" outlineLevel="0" collapsed="false">
      <c r="A16" s="7" t="s">
        <v>395</v>
      </c>
      <c r="B16" s="7" t="s">
        <v>396</v>
      </c>
      <c r="C16" s="17" t="n">
        <v>0</v>
      </c>
      <c r="D16" s="19" t="n">
        <v>1</v>
      </c>
      <c r="E16" s="9" t="n">
        <f aca="false">C16*D16</f>
        <v>0</v>
      </c>
    </row>
    <row r="17" customFormat="false" ht="31.5" hidden="false" customHeight="true" outlineLevel="0" collapsed="false">
      <c r="A17" s="7" t="s">
        <v>397</v>
      </c>
      <c r="B17" s="7" t="s">
        <v>398</v>
      </c>
      <c r="C17" s="17" t="n">
        <v>100000</v>
      </c>
      <c r="D17" s="19" t="n">
        <v>1</v>
      </c>
      <c r="E17" s="9" t="n">
        <f aca="false">C17*D17*(1+Вводные!$B$31)</f>
        <v>130000</v>
      </c>
    </row>
    <row r="18" customFormat="false" ht="31.5" hidden="false" customHeight="true" outlineLevel="0" collapsed="false">
      <c r="A18" s="7" t="s">
        <v>399</v>
      </c>
      <c r="B18" s="7" t="s">
        <v>400</v>
      </c>
      <c r="C18" s="17" t="n">
        <v>0</v>
      </c>
      <c r="D18" s="19" t="n">
        <v>6</v>
      </c>
      <c r="E18" s="9" t="n">
        <f aca="false">C18*D18*(1+Вводные!$B$31)</f>
        <v>0</v>
      </c>
    </row>
    <row r="19" customFormat="false" ht="31.5" hidden="false" customHeight="true" outlineLevel="0" collapsed="false">
      <c r="A19" s="7" t="s">
        <v>401</v>
      </c>
      <c r="B19" s="7" t="s">
        <v>402</v>
      </c>
      <c r="C19" s="17" t="n">
        <v>98000</v>
      </c>
      <c r="D19" s="19" t="n">
        <v>1</v>
      </c>
      <c r="E19" s="9" t="n">
        <f aca="false">C19*D19*(1+Вводные!$B$31)</f>
        <v>127400</v>
      </c>
    </row>
    <row r="20" customFormat="false" ht="31.5" hidden="false" customHeight="true" outlineLevel="0" collapsed="false">
      <c r="A20" s="7" t="s">
        <v>403</v>
      </c>
      <c r="B20" s="7" t="s">
        <v>404</v>
      </c>
      <c r="C20" s="17" t="n">
        <v>12200</v>
      </c>
      <c r="D20" s="19" t="n">
        <v>1</v>
      </c>
      <c r="E20" s="9" t="n">
        <f aca="false">C20*D20</f>
        <v>12200</v>
      </c>
    </row>
    <row r="21" customFormat="false" ht="45" hidden="false" customHeight="true" outlineLevel="0" collapsed="false">
      <c r="A21" s="7" t="s">
        <v>405</v>
      </c>
      <c r="B21" s="7" t="s">
        <v>406</v>
      </c>
      <c r="C21" s="9" t="n">
        <f aca="false">(3120+3120+2080)/12</f>
        <v>693.333333333333</v>
      </c>
      <c r="D21" s="19" t="n">
        <v>1</v>
      </c>
      <c r="E21" s="9" t="n">
        <f aca="false">C21*D21</f>
        <v>693.333333333333</v>
      </c>
    </row>
    <row r="23" customFormat="false" ht="14.25" hidden="false" customHeight="true" outlineLevel="0" collapsed="false">
      <c r="A23" s="2" t="s">
        <v>407</v>
      </c>
      <c r="B23" s="34" t="s">
        <v>338</v>
      </c>
      <c r="C23" s="2" t="s">
        <v>65</v>
      </c>
      <c r="D23" s="2" t="s">
        <v>66</v>
      </c>
      <c r="E23" s="2"/>
    </row>
    <row r="24" customFormat="false" ht="31.5" hidden="false" customHeight="true" outlineLevel="0" collapsed="false">
      <c r="A24" s="7" t="s">
        <v>408</v>
      </c>
      <c r="B24" s="7" t="s">
        <v>409</v>
      </c>
      <c r="C24" s="19" t="n">
        <v>15</v>
      </c>
      <c r="D24" s="8" t="s">
        <v>410</v>
      </c>
    </row>
    <row r="25" customFormat="false" ht="31.5" hidden="false" customHeight="true" outlineLevel="0" collapsed="false">
      <c r="A25" s="7" t="s">
        <v>411</v>
      </c>
      <c r="B25" s="7" t="s">
        <v>412</v>
      </c>
      <c r="C25" s="9" t="n">
        <f aca="false">C19*(1+Вводные!$B$31)/160</f>
        <v>796.25</v>
      </c>
      <c r="D25" s="8" t="s">
        <v>413</v>
      </c>
    </row>
    <row r="26" customFormat="false" ht="31.5" hidden="false" customHeight="true" outlineLevel="0" collapsed="false">
      <c r="A26" s="7" t="s">
        <v>414</v>
      </c>
      <c r="B26" s="7" t="s">
        <v>415</v>
      </c>
      <c r="C26" s="35" t="n">
        <v>4</v>
      </c>
      <c r="D26" s="8" t="s">
        <v>57</v>
      </c>
    </row>
    <row r="27" customFormat="false" ht="31.5" hidden="false" customHeight="true" outlineLevel="0" collapsed="false">
      <c r="A27" s="7" t="s">
        <v>416</v>
      </c>
      <c r="B27" s="7" t="s">
        <v>417</v>
      </c>
      <c r="C27" s="21" t="n">
        <v>0.3</v>
      </c>
      <c r="D27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6" activeCellId="0" sqref="E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1.22"/>
    <col collapsed="false" customWidth="true" hidden="false" outlineLevel="0" max="2" min="2" style="1" width="64"/>
    <col collapsed="false" customWidth="true" hidden="false" outlineLevel="0" max="4" min="3" style="1" width="13"/>
    <col collapsed="false" customWidth="true" hidden="false" outlineLevel="0" max="5" min="5" style="1" width="22.88"/>
    <col collapsed="false" customWidth="true" hidden="false" outlineLevel="0" max="8" min="6" style="1" width="13"/>
    <col collapsed="false" customWidth="true" hidden="false" outlineLevel="0" max="9" min="9" style="1" width="14.88"/>
    <col collapsed="false" customWidth="true" hidden="false" outlineLevel="0" max="11" min="10" style="1" width="13"/>
    <col collapsed="false" customWidth="true" hidden="false" outlineLevel="0" max="12" min="12" style="1" width="63.33"/>
    <col collapsed="false" customWidth="true" hidden="false" outlineLevel="0" max="38" min="13" style="1" width="13"/>
  </cols>
  <sheetData>
    <row r="1" s="37" customFormat="true" ht="27.75" hidden="false" customHeight="true" outlineLevel="0" collapsed="false">
      <c r="A1" s="36" t="s">
        <v>418</v>
      </c>
      <c r="B1" s="36" t="s">
        <v>419</v>
      </c>
      <c r="C1" s="36" t="s">
        <v>420</v>
      </c>
      <c r="D1" s="36" t="s">
        <v>421</v>
      </c>
      <c r="E1" s="36" t="s">
        <v>422</v>
      </c>
      <c r="F1" s="36" t="s">
        <v>423</v>
      </c>
      <c r="G1" s="36" t="s">
        <v>424</v>
      </c>
      <c r="H1" s="36" t="s">
        <v>425</v>
      </c>
      <c r="I1" s="36" t="s">
        <v>426</v>
      </c>
      <c r="J1" s="36" t="s">
        <v>427</v>
      </c>
      <c r="K1" s="36" t="s">
        <v>428</v>
      </c>
      <c r="L1" s="36" t="s">
        <v>429</v>
      </c>
    </row>
    <row r="2" customFormat="false" ht="15" hidden="false" customHeight="true" outlineLevel="0" collapsed="false">
      <c r="A2" s="3" t="s">
        <v>430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57.75" hidden="false" customHeight="true" outlineLevel="0" collapsed="false">
      <c r="A3" s="38" t="s">
        <v>431</v>
      </c>
      <c r="B3" s="8" t="s">
        <v>432</v>
      </c>
      <c r="C3" s="9"/>
      <c r="D3" s="17" t="n">
        <v>90000</v>
      </c>
      <c r="E3" s="9" t="n">
        <f aca="false">IFERROR(D3/K3*1000,0)</f>
        <v>789473.684210526</v>
      </c>
      <c r="F3" s="39" t="n">
        <f aca="false">K3/1000/1000</f>
        <v>0.000114</v>
      </c>
      <c r="G3" s="19" t="n">
        <v>1</v>
      </c>
      <c r="H3" s="19" t="n">
        <v>36</v>
      </c>
      <c r="I3" s="11" t="n">
        <f aca="false">E3*F3</f>
        <v>90</v>
      </c>
      <c r="J3" s="9" t="n">
        <f aca="false">D3</f>
        <v>90000</v>
      </c>
      <c r="K3" s="17" t="n">
        <v>114</v>
      </c>
      <c r="L3" s="29" t="s">
        <v>433</v>
      </c>
    </row>
    <row r="4" customFormat="false" ht="57.75" hidden="false" customHeight="true" outlineLevel="0" collapsed="false">
      <c r="A4" s="38" t="s">
        <v>434</v>
      </c>
      <c r="B4" s="8" t="s">
        <v>435</v>
      </c>
      <c r="C4" s="9"/>
      <c r="D4" s="17" t="n">
        <v>30000</v>
      </c>
      <c r="E4" s="9" t="n">
        <f aca="false">IFERROR(D4/K4*1000,0)</f>
        <v>99337.7483443709</v>
      </c>
      <c r="F4" s="39" t="n">
        <v>0.00049</v>
      </c>
      <c r="G4" s="19" t="n">
        <v>1</v>
      </c>
      <c r="H4" s="19" t="n">
        <v>36</v>
      </c>
      <c r="I4" s="11" t="n">
        <f aca="false">E4*F4</f>
        <v>48.6754966887417</v>
      </c>
      <c r="J4" s="9" t="n">
        <f aca="false">D4</f>
        <v>30000</v>
      </c>
      <c r="K4" s="17" t="n">
        <v>302</v>
      </c>
      <c r="L4" s="29" t="s">
        <v>436</v>
      </c>
    </row>
    <row r="5" customFormat="false" ht="57.75" hidden="false" customHeight="true" outlineLevel="0" collapsed="false">
      <c r="A5" s="38" t="s">
        <v>437</v>
      </c>
      <c r="B5" s="8" t="s">
        <v>438</v>
      </c>
      <c r="C5" s="9"/>
      <c r="D5" s="17" t="n">
        <v>15000</v>
      </c>
      <c r="E5" s="9" t="n">
        <f aca="false">IFERROR(D5/K5*1000,0)</f>
        <v>7500</v>
      </c>
      <c r="F5" s="39" t="n">
        <v>0.0015</v>
      </c>
      <c r="G5" s="19" t="n">
        <v>2</v>
      </c>
      <c r="H5" s="19" t="n">
        <v>36</v>
      </c>
      <c r="I5" s="11" t="n">
        <f aca="false">E5*F5</f>
        <v>11.25</v>
      </c>
      <c r="J5" s="9" t="n">
        <f aca="false">D5</f>
        <v>15000</v>
      </c>
      <c r="K5" s="17" t="n">
        <v>2000</v>
      </c>
      <c r="L5" s="29" t="s">
        <v>439</v>
      </c>
    </row>
    <row r="6" customFormat="false" ht="57.75" hidden="false" customHeight="true" outlineLevel="0" collapsed="false">
      <c r="A6" s="38" t="s">
        <v>440</v>
      </c>
      <c r="B6" s="8" t="s">
        <v>441</v>
      </c>
      <c r="C6" s="17" t="n">
        <v>30000</v>
      </c>
      <c r="D6" s="17" t="n">
        <v>10000</v>
      </c>
      <c r="E6" s="17" t="n">
        <v>200</v>
      </c>
      <c r="F6" s="39" t="n">
        <v>0.1</v>
      </c>
      <c r="G6" s="19" t="n">
        <v>2</v>
      </c>
      <c r="H6" s="19" t="n">
        <v>36</v>
      </c>
      <c r="I6" s="11" t="n">
        <f aca="false">E6*F6</f>
        <v>20</v>
      </c>
      <c r="J6" s="9" t="n">
        <f aca="false">D6</f>
        <v>10000</v>
      </c>
      <c r="K6" s="9"/>
      <c r="L6" s="29" t="s">
        <v>442</v>
      </c>
    </row>
    <row r="7" customFormat="false" ht="57.75" hidden="false" customHeight="true" outlineLevel="0" collapsed="false">
      <c r="A7" s="38" t="s">
        <v>443</v>
      </c>
      <c r="B7" s="8" t="s">
        <v>444</v>
      </c>
      <c r="C7" s="9"/>
      <c r="D7" s="17" t="n">
        <v>15000</v>
      </c>
      <c r="E7" s="9" t="n">
        <f aca="false">IFERROR(D7/K7*1000,0)</f>
        <v>10000</v>
      </c>
      <c r="F7" s="39" t="n">
        <v>0.00036</v>
      </c>
      <c r="G7" s="19" t="n">
        <v>1</v>
      </c>
      <c r="H7" s="19" t="n">
        <v>36</v>
      </c>
      <c r="I7" s="11" t="n">
        <f aca="false">E7*F7</f>
        <v>3.6</v>
      </c>
      <c r="J7" s="9" t="n">
        <f aca="false">D7</f>
        <v>15000</v>
      </c>
      <c r="K7" s="17" t="n">
        <v>1500</v>
      </c>
      <c r="L7" s="29" t="s">
        <v>445</v>
      </c>
    </row>
    <row r="8" customFormat="false" ht="15" hidden="false" customHeight="true" outlineLevel="0" collapsed="false">
      <c r="A8" s="3" t="s">
        <v>446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57.75" hidden="false" customHeight="true" outlineLevel="0" collapsed="false">
      <c r="A9" s="8" t="s">
        <v>447</v>
      </c>
      <c r="B9" s="8" t="s">
        <v>448</v>
      </c>
      <c r="C9" s="9"/>
      <c r="D9" s="17" t="n">
        <v>17500</v>
      </c>
      <c r="E9" s="9" t="n">
        <f aca="false">IFERROR(D9/K9*1000,0)</f>
        <v>87500</v>
      </c>
      <c r="F9" s="39" t="n">
        <v>0.00086</v>
      </c>
      <c r="G9" s="19" t="n">
        <v>3</v>
      </c>
      <c r="H9" s="19" t="n">
        <v>36</v>
      </c>
      <c r="I9" s="11" t="n">
        <f aca="false">E9*F9</f>
        <v>75.25</v>
      </c>
      <c r="J9" s="9" t="n">
        <f aca="false">D9</f>
        <v>17500</v>
      </c>
      <c r="K9" s="17" t="n">
        <v>200</v>
      </c>
      <c r="L9" s="29" t="s">
        <v>449</v>
      </c>
    </row>
    <row r="10" customFormat="false" ht="57.75" hidden="false" customHeight="true" outlineLevel="0" collapsed="false">
      <c r="A10" s="8" t="s">
        <v>450</v>
      </c>
      <c r="B10" s="8" t="s">
        <v>451</v>
      </c>
      <c r="C10" s="9"/>
      <c r="D10" s="17" t="n">
        <v>70000</v>
      </c>
      <c r="E10" s="9" t="n">
        <f aca="false">IFERROR(D10/K10*1000,0)</f>
        <v>614035.087719298</v>
      </c>
      <c r="F10" s="39" t="n">
        <v>0.00076</v>
      </c>
      <c r="G10" s="19" t="n">
        <v>3</v>
      </c>
      <c r="H10" s="19" t="n">
        <v>36</v>
      </c>
      <c r="I10" s="11" t="n">
        <f aca="false">E10*F10</f>
        <v>466.666666666667</v>
      </c>
      <c r="J10" s="9" t="n">
        <f aca="false">D10</f>
        <v>70000</v>
      </c>
      <c r="K10" s="17" t="n">
        <v>114</v>
      </c>
      <c r="L10" s="29" t="s">
        <v>452</v>
      </c>
    </row>
    <row r="13" customFormat="false" ht="15" hidden="false" customHeight="true" outlineLevel="0" collapsed="false">
      <c r="A13" s="5" t="s">
        <v>242</v>
      </c>
      <c r="B13" s="40" t="n">
        <v>0</v>
      </c>
      <c r="C13" s="40" t="n">
        <v>1</v>
      </c>
      <c r="D13" s="40" t="n">
        <v>2</v>
      </c>
      <c r="E13" s="40" t="n">
        <v>3</v>
      </c>
      <c r="F13" s="40" t="n">
        <v>4</v>
      </c>
      <c r="G13" s="40" t="n">
        <v>5</v>
      </c>
      <c r="H13" s="40" t="n">
        <v>6</v>
      </c>
      <c r="I13" s="40" t="n">
        <v>7</v>
      </c>
      <c r="J13" s="40" t="n">
        <v>8</v>
      </c>
      <c r="K13" s="40" t="n">
        <v>9</v>
      </c>
      <c r="L13" s="40" t="n">
        <v>10</v>
      </c>
      <c r="M13" s="40" t="n">
        <v>11</v>
      </c>
      <c r="N13" s="40" t="n">
        <v>12</v>
      </c>
      <c r="O13" s="40" t="n">
        <v>13</v>
      </c>
      <c r="P13" s="40" t="n">
        <v>14</v>
      </c>
      <c r="Q13" s="40" t="n">
        <v>15</v>
      </c>
      <c r="R13" s="40" t="n">
        <v>16</v>
      </c>
      <c r="S13" s="40" t="n">
        <v>17</v>
      </c>
      <c r="T13" s="40" t="n">
        <v>18</v>
      </c>
      <c r="U13" s="40" t="n">
        <v>19</v>
      </c>
      <c r="V13" s="40" t="n">
        <v>20</v>
      </c>
      <c r="W13" s="40" t="n">
        <v>21</v>
      </c>
      <c r="X13" s="40" t="n">
        <v>22</v>
      </c>
      <c r="Y13" s="40" t="n">
        <v>23</v>
      </c>
      <c r="Z13" s="40" t="n">
        <v>24</v>
      </c>
      <c r="AA13" s="40" t="n">
        <v>25</v>
      </c>
      <c r="AB13" s="40" t="n">
        <v>26</v>
      </c>
      <c r="AC13" s="40" t="n">
        <v>27</v>
      </c>
      <c r="AD13" s="40" t="n">
        <v>28</v>
      </c>
      <c r="AE13" s="40" t="n">
        <v>29</v>
      </c>
      <c r="AF13" s="40" t="n">
        <v>30</v>
      </c>
      <c r="AG13" s="40" t="n">
        <v>31</v>
      </c>
      <c r="AH13" s="40" t="n">
        <v>32</v>
      </c>
      <c r="AI13" s="40" t="n">
        <v>33</v>
      </c>
      <c r="AJ13" s="40" t="n">
        <v>34</v>
      </c>
      <c r="AK13" s="40" t="n">
        <v>35</v>
      </c>
      <c r="AL13" s="40" t="n">
        <v>36</v>
      </c>
    </row>
    <row r="14" customFormat="false" ht="15" hidden="false" customHeight="true" outlineLevel="0" collapsed="false">
      <c r="A14" s="8" t="s">
        <v>453</v>
      </c>
      <c r="B14" s="11" t="n">
        <f aca="false">SUMPRODUCT(($G$3:$G$7&lt;=B$13)*((($H$3:$H$7="")+($H$3:$H$7&gt;=B$13))&gt;0)*$I$3:$I$7)</f>
        <v>0</v>
      </c>
      <c r="C14" s="11" t="n">
        <f aca="false">SUMPRODUCT(($G$3:$G$7&lt;=C$13)*((($H$3:$H$7="")+($H$3:$H$7&gt;=C$13))&gt;0)*$I$3:$I$7)</f>
        <v>142.275496688742</v>
      </c>
      <c r="D14" s="11" t="n">
        <f aca="false">SUMPRODUCT(($G$3:$G$7&lt;=D$13)*((($H$3:$H$7="")+($H$3:$H$7&gt;=D$13))&gt;0)*$I$3:$I$7)</f>
        <v>173.525496688742</v>
      </c>
      <c r="E14" s="11" t="n">
        <f aca="false">SUMPRODUCT(($G$3:$G$7&lt;=E$13)*((($H$3:$H$7="")+($H$3:$H$7&gt;=E$13))&gt;0)*$I$3:$I$7)</f>
        <v>173.525496688742</v>
      </c>
      <c r="F14" s="11" t="n">
        <f aca="false">SUMPRODUCT(($G$3:$G$7&lt;=F$13)*((($H$3:$H$7="")+($H$3:$H$7&gt;=F$13))&gt;0)*$I$3:$I$7)</f>
        <v>173.525496688742</v>
      </c>
      <c r="G14" s="11" t="n">
        <f aca="false">SUMPRODUCT(($G$3:$G$7&lt;=G$13)*((($H$3:$H$7="")+($H$3:$H$7&gt;=G$13))&gt;0)*$I$3:$I$7)</f>
        <v>173.525496688742</v>
      </c>
      <c r="H14" s="11" t="n">
        <f aca="false">SUMPRODUCT(($G$3:$G$7&lt;=H$13)*((($H$3:$H$7="")+($H$3:$H$7&gt;=H$13))&gt;0)*$I$3:$I$7)</f>
        <v>173.525496688742</v>
      </c>
      <c r="I14" s="11" t="n">
        <f aca="false">SUMPRODUCT(($G$3:$G$7&lt;=I$13)*((($H$3:$H$7="")+($H$3:$H$7&gt;=I$13))&gt;0)*$I$3:$I$7)</f>
        <v>173.525496688742</v>
      </c>
      <c r="J14" s="11" t="n">
        <f aca="false">SUMPRODUCT(($G$3:$G$7&lt;=J$13)*((($H$3:$H$7="")+($H$3:$H$7&gt;=J$13))&gt;0)*$I$3:$I$7)</f>
        <v>173.525496688742</v>
      </c>
      <c r="K14" s="11" t="n">
        <f aca="false">SUMPRODUCT(($G$3:$G$7&lt;=K$13)*((($H$3:$H$7="")+($H$3:$H$7&gt;=K$13))&gt;0)*$I$3:$I$7)</f>
        <v>173.525496688742</v>
      </c>
      <c r="L14" s="41" t="n">
        <f aca="false">SUMPRODUCT(($G$3:$G$7&lt;=L$13)*((($H$3:$H$7="")+($H$3:$H$7&gt;=L$13))&gt;0)*$I$3:$I$7)</f>
        <v>173.525496688742</v>
      </c>
      <c r="M14" s="11" t="n">
        <f aca="false">SUMPRODUCT(($G$3:$G$7&lt;=M$13)*((($H$3:$H$7="")+($H$3:$H$7&gt;=M$13))&gt;0)*$I$3:$I$7)</f>
        <v>173.525496688742</v>
      </c>
      <c r="N14" s="11" t="n">
        <f aca="false">SUMPRODUCT(($G$3:$G$7&lt;=N$13)*((($H$3:$H$7="")+($H$3:$H$7&gt;=N$13))&gt;0)*$I$3:$I$7)</f>
        <v>173.525496688742</v>
      </c>
      <c r="O14" s="11" t="n">
        <f aca="false">SUMPRODUCT(($G$3:$G$7&lt;=O$13)*((($H$3:$H$7="")+($H$3:$H$7&gt;=O$13))&gt;0)*$I$3:$I$7)</f>
        <v>173.525496688742</v>
      </c>
      <c r="P14" s="11" t="n">
        <f aca="false">SUMPRODUCT(($G$3:$G$7&lt;=P$13)*((($H$3:$H$7="")+($H$3:$H$7&gt;=P$13))&gt;0)*$I$3:$I$7)</f>
        <v>173.525496688742</v>
      </c>
      <c r="Q14" s="11" t="n">
        <f aca="false">SUMPRODUCT(($G$3:$G$7&lt;=Q$13)*((($H$3:$H$7="")+($H$3:$H$7&gt;=Q$13))&gt;0)*$I$3:$I$7)</f>
        <v>173.525496688742</v>
      </c>
      <c r="R14" s="11" t="n">
        <f aca="false">SUMPRODUCT(($G$3:$G$7&lt;=R$13)*((($H$3:$H$7="")+($H$3:$H$7&gt;=R$13))&gt;0)*$I$3:$I$7)</f>
        <v>173.525496688742</v>
      </c>
      <c r="S14" s="11" t="n">
        <f aca="false">SUMPRODUCT(($G$3:$G$7&lt;=S$13)*((($H$3:$H$7="")+($H$3:$H$7&gt;=S$13))&gt;0)*$I$3:$I$7)</f>
        <v>173.525496688742</v>
      </c>
      <c r="T14" s="11" t="n">
        <f aca="false">SUMPRODUCT(($G$3:$G$7&lt;=T$13)*((($H$3:$H$7="")+($H$3:$H$7&gt;=T$13))&gt;0)*$I$3:$I$7)</f>
        <v>173.525496688742</v>
      </c>
      <c r="U14" s="11" t="n">
        <f aca="false">SUMPRODUCT(($G$3:$G$7&lt;=U$13)*((($H$3:$H$7="")+($H$3:$H$7&gt;=U$13))&gt;0)*$I$3:$I$7)</f>
        <v>173.525496688742</v>
      </c>
      <c r="V14" s="11" t="n">
        <f aca="false">SUMPRODUCT(($G$3:$G$7&lt;=V$13)*((($H$3:$H$7="")+($H$3:$H$7&gt;=V$13))&gt;0)*$I$3:$I$7)</f>
        <v>173.525496688742</v>
      </c>
      <c r="W14" s="11" t="n">
        <f aca="false">SUMPRODUCT(($G$3:$G$7&lt;=W$13)*((($H$3:$H$7="")+($H$3:$H$7&gt;=W$13))&gt;0)*$I$3:$I$7)</f>
        <v>173.525496688742</v>
      </c>
      <c r="X14" s="11" t="n">
        <f aca="false">SUMPRODUCT(($G$3:$G$7&lt;=X$13)*((($H$3:$H$7="")+($H$3:$H$7&gt;=X$13))&gt;0)*$I$3:$I$7)</f>
        <v>173.525496688742</v>
      </c>
      <c r="Y14" s="11" t="n">
        <f aca="false">SUMPRODUCT(($G$3:$G$7&lt;=Y$13)*((($H$3:$H$7="")+($H$3:$H$7&gt;=Y$13))&gt;0)*$I$3:$I$7)</f>
        <v>173.525496688742</v>
      </c>
      <c r="Z14" s="11" t="n">
        <f aca="false">SUMPRODUCT(($G$3:$G$7&lt;=Z$13)*((($H$3:$H$7="")+($H$3:$H$7&gt;=Z$13))&gt;0)*$I$3:$I$7)</f>
        <v>173.525496688742</v>
      </c>
      <c r="AA14" s="11" t="n">
        <f aca="false">SUMPRODUCT(($G$3:$G$7&lt;=AA$13)*((($H$3:$H$7="")+($H$3:$H$7&gt;=AA$13))&gt;0)*$I$3:$I$7)</f>
        <v>173.525496688742</v>
      </c>
      <c r="AB14" s="11" t="n">
        <f aca="false">SUMPRODUCT(($G$3:$G$7&lt;=AB$13)*((($H$3:$H$7="")+($H$3:$H$7&gt;=AB$13))&gt;0)*$I$3:$I$7)</f>
        <v>173.525496688742</v>
      </c>
      <c r="AC14" s="11" t="n">
        <f aca="false">SUMPRODUCT(($G$3:$G$7&lt;=AC$13)*((($H$3:$H$7="")+($H$3:$H$7&gt;=AC$13))&gt;0)*$I$3:$I$7)</f>
        <v>173.525496688742</v>
      </c>
      <c r="AD14" s="11" t="n">
        <f aca="false">SUMPRODUCT(($G$3:$G$7&lt;=AD$13)*((($H$3:$H$7="")+($H$3:$H$7&gt;=AD$13))&gt;0)*$I$3:$I$7)</f>
        <v>173.525496688742</v>
      </c>
      <c r="AE14" s="11" t="n">
        <f aca="false">SUMPRODUCT(($G$3:$G$7&lt;=AE$13)*((($H$3:$H$7="")+($H$3:$H$7&gt;=AE$13))&gt;0)*$I$3:$I$7)</f>
        <v>173.525496688742</v>
      </c>
      <c r="AF14" s="11" t="n">
        <f aca="false">SUMPRODUCT(($G$3:$G$7&lt;=AF$13)*((($H$3:$H$7="")+($H$3:$H$7&gt;=AF$13))&gt;0)*$I$3:$I$7)</f>
        <v>173.525496688742</v>
      </c>
      <c r="AG14" s="11" t="n">
        <f aca="false">SUMPRODUCT(($G$3:$G$7&lt;=AG$13)*((($H$3:$H$7="")+($H$3:$H$7&gt;=AG$13))&gt;0)*$I$3:$I$7)</f>
        <v>173.525496688742</v>
      </c>
      <c r="AH14" s="11" t="n">
        <f aca="false">SUMPRODUCT(($G$3:$G$7&lt;=AH$13)*((($H$3:$H$7="")+($H$3:$H$7&gt;=AH$13))&gt;0)*$I$3:$I$7)</f>
        <v>173.525496688742</v>
      </c>
      <c r="AI14" s="11" t="n">
        <f aca="false">SUMPRODUCT(($G$3:$G$7&lt;=AI$13)*((($H$3:$H$7="")+($H$3:$H$7&gt;=AI$13))&gt;0)*$I$3:$I$7)</f>
        <v>173.525496688742</v>
      </c>
      <c r="AJ14" s="11" t="n">
        <f aca="false">SUMPRODUCT(($G$3:$G$7&lt;=AJ$13)*((($H$3:$H$7="")+($H$3:$H$7&gt;=AJ$13))&gt;0)*$I$3:$I$7)</f>
        <v>173.525496688742</v>
      </c>
      <c r="AK14" s="11" t="n">
        <f aca="false">SUMPRODUCT(($G$3:$G$7&lt;=AK$13)*((($H$3:$H$7="")+($H$3:$H$7&gt;=AK$13))&gt;0)*$I$3:$I$7)</f>
        <v>173.525496688742</v>
      </c>
      <c r="AL14" s="11" t="n">
        <f aca="false">SUMPRODUCT(($G$3:$G$7&lt;=AL$13)*((($H$3:$H$7="")+($H$3:$H$7&gt;=AL$13))&gt;0)*$I$3:$I$7)</f>
        <v>173.525496688742</v>
      </c>
    </row>
    <row r="15" customFormat="false" ht="15" hidden="false" customHeight="true" outlineLevel="0" collapsed="false">
      <c r="A15" s="8" t="s">
        <v>454</v>
      </c>
      <c r="B15" s="9" t="n">
        <f aca="false">SUMPRODUCT(($G$3:$G$7&lt;=B$13)*((($H$3:$H$7="")+($H$3:$H$7&gt;=B$13))&gt;0)*$J$3:$J$7)+SUMPRODUCT(($G$3:$G$7=B$13)*$C$3:$C$7)</f>
        <v>0</v>
      </c>
      <c r="C15" s="9" t="n">
        <f aca="false">SUMPRODUCT(($G$3:$G$7&lt;=C$13)*((($H$3:$H$7="")+($H$3:$H$7&gt;=C$13))&gt;0)*$J$3:$J$7)+SUMPRODUCT(($G$3:$G$7=C$13)*$C$3:$C$7)</f>
        <v>135000</v>
      </c>
      <c r="D15" s="9" t="n">
        <f aca="false">SUMPRODUCT(($G$3:$G$7&lt;=D$13)*((($H$3:$H$7="")+($H$3:$H$7&gt;=D$13))&gt;0)*$J$3:$J$7)+SUMPRODUCT(($G$3:$G$7=D$13)*$C$3:$C$7)</f>
        <v>190000</v>
      </c>
      <c r="E15" s="9" t="n">
        <f aca="false">SUMPRODUCT(($G$3:$G$7&lt;=E$13)*((($H$3:$H$7="")+($H$3:$H$7&gt;=E$13))&gt;0)*$J$3:$J$7)+SUMPRODUCT(($G$3:$G$7=E$13)*$C$3:$C$7)</f>
        <v>160000</v>
      </c>
      <c r="F15" s="9" t="n">
        <f aca="false">SUMPRODUCT(($G$3:$G$7&lt;=F$13)*((($H$3:$H$7="")+($H$3:$H$7&gt;=F$13))&gt;0)*$J$3:$J$7)+SUMPRODUCT(($G$3:$G$7=F$13)*$C$3:$C$7)</f>
        <v>160000</v>
      </c>
      <c r="G15" s="9" t="n">
        <f aca="false">SUMPRODUCT(($G$3:$G$7&lt;=G$13)*((($H$3:$H$7="")+($H$3:$H$7&gt;=G$13))&gt;0)*$J$3:$J$7)+SUMPRODUCT(($G$3:$G$7=G$13)*$C$3:$C$7)</f>
        <v>160000</v>
      </c>
      <c r="H15" s="9" t="n">
        <f aca="false">SUMPRODUCT(($G$3:$G$7&lt;=H$13)*((($H$3:$H$7="")+($H$3:$H$7&gt;=H$13))&gt;0)*$J$3:$J$7)+SUMPRODUCT(($G$3:$G$7=H$13)*$C$3:$C$7)</f>
        <v>160000</v>
      </c>
      <c r="I15" s="9" t="n">
        <f aca="false">SUMPRODUCT(($G$3:$G$7&lt;=I$13)*((($H$3:$H$7="")+($H$3:$H$7&gt;=I$13))&gt;0)*$J$3:$J$7)+SUMPRODUCT(($G$3:$G$7=I$13)*$C$3:$C$7)</f>
        <v>160000</v>
      </c>
      <c r="J15" s="9" t="n">
        <f aca="false">SUMPRODUCT(($G$3:$G$7&lt;=J$13)*((($H$3:$H$7="")+($H$3:$H$7&gt;=J$13))&gt;0)*$J$3:$J$7)+SUMPRODUCT(($G$3:$G$7=J$13)*$C$3:$C$7)</f>
        <v>160000</v>
      </c>
      <c r="K15" s="9" t="n">
        <f aca="false">SUMPRODUCT(($G$3:$G$7&lt;=K$13)*((($H$3:$H$7="")+($H$3:$H$7&gt;=K$13))&gt;0)*$J$3:$J$7)+SUMPRODUCT(($G$3:$G$7=K$13)*$C$3:$C$7)</f>
        <v>160000</v>
      </c>
      <c r="L15" s="42" t="n">
        <f aca="false">SUMPRODUCT(($G$3:$G$7&lt;=L$13)*((($H$3:$H$7="")+($H$3:$H$7&gt;=L$13))&gt;0)*$J$3:$J$7)+SUMPRODUCT(($G$3:$G$7=L$13)*$C$3:$C$7)</f>
        <v>160000</v>
      </c>
      <c r="M15" s="9" t="n">
        <f aca="false">SUMPRODUCT(($G$3:$G$7&lt;=M$13)*((($H$3:$H$7="")+($H$3:$H$7&gt;=M$13))&gt;0)*$J$3:$J$7)+SUMPRODUCT(($G$3:$G$7=M$13)*$C$3:$C$7)</f>
        <v>160000</v>
      </c>
      <c r="N15" s="9" t="n">
        <f aca="false">SUMPRODUCT(($G$3:$G$7&lt;=N$13)*((($H$3:$H$7="")+($H$3:$H$7&gt;=N$13))&gt;0)*$J$3:$J$7)+SUMPRODUCT(($G$3:$G$7=N$13)*$C$3:$C$7)</f>
        <v>160000</v>
      </c>
      <c r="O15" s="9" t="n">
        <f aca="false">SUMPRODUCT(($G$3:$G$7&lt;=O$13)*((($H$3:$H$7="")+($H$3:$H$7&gt;=O$13))&gt;0)*$J$3:$J$7)+SUMPRODUCT(($G$3:$G$7=O$13)*$C$3:$C$7)</f>
        <v>160000</v>
      </c>
      <c r="P15" s="9" t="n">
        <f aca="false">SUMPRODUCT(($G$3:$G$7&lt;=P$13)*((($H$3:$H$7="")+($H$3:$H$7&gt;=P$13))&gt;0)*$J$3:$J$7)+SUMPRODUCT(($G$3:$G$7=P$13)*$C$3:$C$7)</f>
        <v>160000</v>
      </c>
      <c r="Q15" s="9" t="n">
        <f aca="false">SUMPRODUCT(($G$3:$G$7&lt;=Q$13)*((($H$3:$H$7="")+($H$3:$H$7&gt;=Q$13))&gt;0)*$J$3:$J$7)+SUMPRODUCT(($G$3:$G$7=Q$13)*$C$3:$C$7)</f>
        <v>160000</v>
      </c>
      <c r="R15" s="9" t="n">
        <f aca="false">SUMPRODUCT(($G$3:$G$7&lt;=R$13)*((($H$3:$H$7="")+($H$3:$H$7&gt;=R$13))&gt;0)*$J$3:$J$7)+SUMPRODUCT(($G$3:$G$7=R$13)*$C$3:$C$7)</f>
        <v>160000</v>
      </c>
      <c r="S15" s="9" t="n">
        <f aca="false">SUMPRODUCT(($G$3:$G$7&lt;=S$13)*((($H$3:$H$7="")+($H$3:$H$7&gt;=S$13))&gt;0)*$J$3:$J$7)+SUMPRODUCT(($G$3:$G$7=S$13)*$C$3:$C$7)</f>
        <v>160000</v>
      </c>
      <c r="T15" s="9" t="n">
        <f aca="false">SUMPRODUCT(($G$3:$G$7&lt;=T$13)*((($H$3:$H$7="")+($H$3:$H$7&gt;=T$13))&gt;0)*$J$3:$J$7)+SUMPRODUCT(($G$3:$G$7=T$13)*$C$3:$C$7)</f>
        <v>160000</v>
      </c>
      <c r="U15" s="9" t="n">
        <f aca="false">SUMPRODUCT(($G$3:$G$7&lt;=U$13)*((($H$3:$H$7="")+($H$3:$H$7&gt;=U$13))&gt;0)*$J$3:$J$7)+SUMPRODUCT(($G$3:$G$7=U$13)*$C$3:$C$7)</f>
        <v>160000</v>
      </c>
      <c r="V15" s="9" t="n">
        <f aca="false">SUMPRODUCT(($G$3:$G$7&lt;=V$13)*((($H$3:$H$7="")+($H$3:$H$7&gt;=V$13))&gt;0)*$J$3:$J$7)+SUMPRODUCT(($G$3:$G$7=V$13)*$C$3:$C$7)</f>
        <v>160000</v>
      </c>
      <c r="W15" s="9" t="n">
        <f aca="false">SUMPRODUCT(($G$3:$G$7&lt;=W$13)*((($H$3:$H$7="")+($H$3:$H$7&gt;=W$13))&gt;0)*$J$3:$J$7)+SUMPRODUCT(($G$3:$G$7=W$13)*$C$3:$C$7)</f>
        <v>160000</v>
      </c>
      <c r="X15" s="9" t="n">
        <f aca="false">SUMPRODUCT(($G$3:$G$7&lt;=X$13)*((($H$3:$H$7="")+($H$3:$H$7&gt;=X$13))&gt;0)*$J$3:$J$7)+SUMPRODUCT(($G$3:$G$7=X$13)*$C$3:$C$7)</f>
        <v>160000</v>
      </c>
      <c r="Y15" s="9" t="n">
        <f aca="false">SUMPRODUCT(($G$3:$G$7&lt;=Y$13)*((($H$3:$H$7="")+($H$3:$H$7&gt;=Y$13))&gt;0)*$J$3:$J$7)+SUMPRODUCT(($G$3:$G$7=Y$13)*$C$3:$C$7)</f>
        <v>160000</v>
      </c>
      <c r="Z15" s="9" t="n">
        <f aca="false">SUMPRODUCT(($G$3:$G$7&lt;=Z$13)*((($H$3:$H$7="")+($H$3:$H$7&gt;=Z$13))&gt;0)*$J$3:$J$7)+SUMPRODUCT(($G$3:$G$7=Z$13)*$C$3:$C$7)</f>
        <v>160000</v>
      </c>
      <c r="AA15" s="9" t="n">
        <f aca="false">SUMPRODUCT(($G$3:$G$7&lt;=AA$13)*((($H$3:$H$7="")+($H$3:$H$7&gt;=AA$13))&gt;0)*$J$3:$J$7)+SUMPRODUCT(($G$3:$G$7=AA$13)*$C$3:$C$7)</f>
        <v>160000</v>
      </c>
      <c r="AB15" s="9" t="n">
        <f aca="false">SUMPRODUCT(($G$3:$G$7&lt;=AB$13)*((($H$3:$H$7="")+($H$3:$H$7&gt;=AB$13))&gt;0)*$J$3:$J$7)+SUMPRODUCT(($G$3:$G$7=AB$13)*$C$3:$C$7)</f>
        <v>160000</v>
      </c>
      <c r="AC15" s="9" t="n">
        <f aca="false">SUMPRODUCT(($G$3:$G$7&lt;=AC$13)*((($H$3:$H$7="")+($H$3:$H$7&gt;=AC$13))&gt;0)*$J$3:$J$7)+SUMPRODUCT(($G$3:$G$7=AC$13)*$C$3:$C$7)</f>
        <v>160000</v>
      </c>
      <c r="AD15" s="9" t="n">
        <f aca="false">SUMPRODUCT(($G$3:$G$7&lt;=AD$13)*((($H$3:$H$7="")+($H$3:$H$7&gt;=AD$13))&gt;0)*$J$3:$J$7)+SUMPRODUCT(($G$3:$G$7=AD$13)*$C$3:$C$7)</f>
        <v>160000</v>
      </c>
      <c r="AE15" s="9" t="n">
        <f aca="false">SUMPRODUCT(($G$3:$G$7&lt;=AE$13)*((($H$3:$H$7="")+($H$3:$H$7&gt;=AE$13))&gt;0)*$J$3:$J$7)+SUMPRODUCT(($G$3:$G$7=AE$13)*$C$3:$C$7)</f>
        <v>160000</v>
      </c>
      <c r="AF15" s="9" t="n">
        <f aca="false">SUMPRODUCT(($G$3:$G$7&lt;=AF$13)*((($H$3:$H$7="")+($H$3:$H$7&gt;=AF$13))&gt;0)*$J$3:$J$7)+SUMPRODUCT(($G$3:$G$7=AF$13)*$C$3:$C$7)</f>
        <v>160000</v>
      </c>
      <c r="AG15" s="9" t="n">
        <f aca="false">SUMPRODUCT(($G$3:$G$7&lt;=AG$13)*((($H$3:$H$7="")+($H$3:$H$7&gt;=AG$13))&gt;0)*$J$3:$J$7)+SUMPRODUCT(($G$3:$G$7=AG$13)*$C$3:$C$7)</f>
        <v>160000</v>
      </c>
      <c r="AH15" s="9" t="n">
        <f aca="false">SUMPRODUCT(($G$3:$G$7&lt;=AH$13)*((($H$3:$H$7="")+($H$3:$H$7&gt;=AH$13))&gt;0)*$J$3:$J$7)+SUMPRODUCT(($G$3:$G$7=AH$13)*$C$3:$C$7)</f>
        <v>160000</v>
      </c>
      <c r="AI15" s="9" t="n">
        <f aca="false">SUMPRODUCT(($G$3:$G$7&lt;=AI$13)*((($H$3:$H$7="")+($H$3:$H$7&gt;=AI$13))&gt;0)*$J$3:$J$7)+SUMPRODUCT(($G$3:$G$7=AI$13)*$C$3:$C$7)</f>
        <v>160000</v>
      </c>
      <c r="AJ15" s="9" t="n">
        <f aca="false">SUMPRODUCT(($G$3:$G$7&lt;=AJ$13)*((($H$3:$H$7="")+($H$3:$H$7&gt;=AJ$13))&gt;0)*$J$3:$J$7)+SUMPRODUCT(($G$3:$G$7=AJ$13)*$C$3:$C$7)</f>
        <v>160000</v>
      </c>
      <c r="AK15" s="9" t="n">
        <f aca="false">SUMPRODUCT(($G$3:$G$7&lt;=AK$13)*((($H$3:$H$7="")+($H$3:$H$7&gt;=AK$13))&gt;0)*$J$3:$J$7)+SUMPRODUCT(($G$3:$G$7=AK$13)*$C$3:$C$7)</f>
        <v>160000</v>
      </c>
      <c r="AL15" s="9" t="n">
        <f aca="false">SUMPRODUCT(($G$3:$G$7&lt;=AL$13)*((($H$3:$H$7="")+($H$3:$H$7&gt;=AL$13))&gt;0)*$J$3:$J$7)+SUMPRODUCT(($G$3:$G$7=AL$13)*$C$3:$C$7)</f>
        <v>160000</v>
      </c>
    </row>
    <row r="16" customFormat="false" ht="15" hidden="false" customHeight="true" outlineLevel="0" collapsed="false">
      <c r="A16" s="8" t="s">
        <v>455</v>
      </c>
      <c r="B16" s="11" t="n">
        <f aca="false">SUMPRODUCT(($G$9:$G$10&lt;=B$13)*((($H$9:$H$10="")+($H$9:$H$10&gt;=B$13))&gt;0)*$I$9:$I$10)</f>
        <v>0</v>
      </c>
      <c r="C16" s="11" t="n">
        <f aca="false">SUMPRODUCT(($G$9:$G$10&lt;=C$13)*((($H$9:$H$10="")+($H$9:$H$10&gt;=C$13))&gt;0)*$I$9:$I$10)</f>
        <v>0</v>
      </c>
      <c r="D16" s="11" t="n">
        <f aca="false">SUMPRODUCT(($G$9:$G$10&lt;=D$13)*((($H$9:$H$10="")+($H$9:$H$10&gt;=D$13))&gt;0)*$I$9:$I$10)</f>
        <v>0</v>
      </c>
      <c r="E16" s="11" t="n">
        <f aca="false">SUMPRODUCT(($G$9:$G$10&lt;=E$13)*((($H$9:$H$10="")+($H$9:$H$10&gt;=E$13))&gt;0)*$I$9:$I$10)</f>
        <v>541.916666666667</v>
      </c>
      <c r="F16" s="11" t="n">
        <f aca="false">SUMPRODUCT(($G$9:$G$10&lt;=F$13)*((($H$9:$H$10="")+($H$9:$H$10&gt;=F$13))&gt;0)*$I$9:$I$10)</f>
        <v>541.916666666667</v>
      </c>
      <c r="G16" s="11" t="n">
        <f aca="false">SUMPRODUCT(($G$9:$G$10&lt;=G$13)*((($H$9:$H$10="")+($H$9:$H$10&gt;=G$13))&gt;0)*$I$9:$I$10)</f>
        <v>541.916666666667</v>
      </c>
      <c r="H16" s="11" t="n">
        <f aca="false">SUMPRODUCT(($G$9:$G$10&lt;=H$13)*((($H$9:$H$10="")+($H$9:$H$10&gt;=H$13))&gt;0)*$I$9:$I$10)</f>
        <v>541.916666666667</v>
      </c>
      <c r="I16" s="11" t="n">
        <f aca="false">SUMPRODUCT(($G$9:$G$10&lt;=I$13)*((($H$9:$H$10="")+($H$9:$H$10&gt;=I$13))&gt;0)*$I$9:$I$10)</f>
        <v>541.916666666667</v>
      </c>
      <c r="J16" s="11" t="n">
        <f aca="false">SUMPRODUCT(($G$9:$G$10&lt;=J$13)*((($H$9:$H$10="")+($H$9:$H$10&gt;=J$13))&gt;0)*$I$9:$I$10)</f>
        <v>541.916666666667</v>
      </c>
      <c r="K16" s="11" t="n">
        <f aca="false">SUMPRODUCT(($G$9:$G$10&lt;=K$13)*((($H$9:$H$10="")+($H$9:$H$10&gt;=K$13))&gt;0)*$I$9:$I$10)</f>
        <v>541.916666666667</v>
      </c>
      <c r="L16" s="41" t="n">
        <f aca="false">SUMPRODUCT(($G$9:$G$10&lt;=L$13)*((($H$9:$H$10="")+($H$9:$H$10&gt;=L$13))&gt;0)*$I$9:$I$10)</f>
        <v>541.916666666667</v>
      </c>
      <c r="M16" s="11" t="n">
        <f aca="false">SUMPRODUCT(($G$9:$G$10&lt;=M$13)*((($H$9:$H$10="")+($H$9:$H$10&gt;=M$13))&gt;0)*$I$9:$I$10)</f>
        <v>541.916666666667</v>
      </c>
      <c r="N16" s="11" t="n">
        <f aca="false">SUMPRODUCT(($G$9:$G$10&lt;=N$13)*((($H$9:$H$10="")+($H$9:$H$10&gt;=N$13))&gt;0)*$I$9:$I$10)</f>
        <v>541.916666666667</v>
      </c>
      <c r="O16" s="11" t="n">
        <f aca="false">SUMPRODUCT(($G$9:$G$10&lt;=O$13)*((($H$9:$H$10="")+($H$9:$H$10&gt;=O$13))&gt;0)*$I$9:$I$10)</f>
        <v>541.916666666667</v>
      </c>
      <c r="P16" s="11" t="n">
        <f aca="false">SUMPRODUCT(($G$9:$G$10&lt;=P$13)*((($H$9:$H$10="")+($H$9:$H$10&gt;=P$13))&gt;0)*$I$9:$I$10)</f>
        <v>541.916666666667</v>
      </c>
      <c r="Q16" s="11" t="n">
        <f aca="false">SUMPRODUCT(($G$9:$G$10&lt;=Q$13)*((($H$9:$H$10="")+($H$9:$H$10&gt;=Q$13))&gt;0)*$I$9:$I$10)</f>
        <v>541.916666666667</v>
      </c>
      <c r="R16" s="11" t="n">
        <f aca="false">SUMPRODUCT(($G$9:$G$10&lt;=R$13)*((($H$9:$H$10="")+($H$9:$H$10&gt;=R$13))&gt;0)*$I$9:$I$10)</f>
        <v>541.916666666667</v>
      </c>
      <c r="S16" s="11" t="n">
        <f aca="false">SUMPRODUCT(($G$9:$G$10&lt;=S$13)*((($H$9:$H$10="")+($H$9:$H$10&gt;=S$13))&gt;0)*$I$9:$I$10)</f>
        <v>541.916666666667</v>
      </c>
      <c r="T16" s="11" t="n">
        <f aca="false">SUMPRODUCT(($G$9:$G$10&lt;=T$13)*((($H$9:$H$10="")+($H$9:$H$10&gt;=T$13))&gt;0)*$I$9:$I$10)</f>
        <v>541.916666666667</v>
      </c>
      <c r="U16" s="11" t="n">
        <f aca="false">SUMPRODUCT(($G$9:$G$10&lt;=U$13)*((($H$9:$H$10="")+($H$9:$H$10&gt;=U$13))&gt;0)*$I$9:$I$10)</f>
        <v>541.916666666667</v>
      </c>
      <c r="V16" s="11" t="n">
        <f aca="false">SUMPRODUCT(($G$9:$G$10&lt;=V$13)*((($H$9:$H$10="")+($H$9:$H$10&gt;=V$13))&gt;0)*$I$9:$I$10)</f>
        <v>541.916666666667</v>
      </c>
      <c r="W16" s="11" t="n">
        <f aca="false">SUMPRODUCT(($G$9:$G$10&lt;=W$13)*((($H$9:$H$10="")+($H$9:$H$10&gt;=W$13))&gt;0)*$I$9:$I$10)</f>
        <v>541.916666666667</v>
      </c>
      <c r="X16" s="11" t="n">
        <f aca="false">SUMPRODUCT(($G$9:$G$10&lt;=X$13)*((($H$9:$H$10="")+($H$9:$H$10&gt;=X$13))&gt;0)*$I$9:$I$10)</f>
        <v>541.916666666667</v>
      </c>
      <c r="Y16" s="11" t="n">
        <f aca="false">SUMPRODUCT(($G$9:$G$10&lt;=Y$13)*((($H$9:$H$10="")+($H$9:$H$10&gt;=Y$13))&gt;0)*$I$9:$I$10)</f>
        <v>541.916666666667</v>
      </c>
      <c r="Z16" s="11" t="n">
        <f aca="false">SUMPRODUCT(($G$9:$G$10&lt;=Z$13)*((($H$9:$H$10="")+($H$9:$H$10&gt;=Z$13))&gt;0)*$I$9:$I$10)</f>
        <v>541.916666666667</v>
      </c>
      <c r="AA16" s="11" t="n">
        <f aca="false">SUMPRODUCT(($G$9:$G$10&lt;=AA$13)*((($H$9:$H$10="")+($H$9:$H$10&gt;=AA$13))&gt;0)*$I$9:$I$10)</f>
        <v>541.916666666667</v>
      </c>
      <c r="AB16" s="11" t="n">
        <f aca="false">SUMPRODUCT(($G$9:$G$10&lt;=AB$13)*((($H$9:$H$10="")+($H$9:$H$10&gt;=AB$13))&gt;0)*$I$9:$I$10)</f>
        <v>541.916666666667</v>
      </c>
      <c r="AC16" s="11" t="n">
        <f aca="false">SUMPRODUCT(($G$9:$G$10&lt;=AC$13)*((($H$9:$H$10="")+($H$9:$H$10&gt;=AC$13))&gt;0)*$I$9:$I$10)</f>
        <v>541.916666666667</v>
      </c>
      <c r="AD16" s="11" t="n">
        <f aca="false">SUMPRODUCT(($G$9:$G$10&lt;=AD$13)*((($H$9:$H$10="")+($H$9:$H$10&gt;=AD$13))&gt;0)*$I$9:$I$10)</f>
        <v>541.916666666667</v>
      </c>
      <c r="AE16" s="11" t="n">
        <f aca="false">SUMPRODUCT(($G$9:$G$10&lt;=AE$13)*((($H$9:$H$10="")+($H$9:$H$10&gt;=AE$13))&gt;0)*$I$9:$I$10)</f>
        <v>541.916666666667</v>
      </c>
      <c r="AF16" s="11" t="n">
        <f aca="false">SUMPRODUCT(($G$9:$G$10&lt;=AF$13)*((($H$9:$H$10="")+($H$9:$H$10&gt;=AF$13))&gt;0)*$I$9:$I$10)</f>
        <v>541.916666666667</v>
      </c>
      <c r="AG16" s="11" t="n">
        <f aca="false">SUMPRODUCT(($G$9:$G$10&lt;=AG$13)*((($H$9:$H$10="")+($H$9:$H$10&gt;=AG$13))&gt;0)*$I$9:$I$10)</f>
        <v>541.916666666667</v>
      </c>
      <c r="AH16" s="11" t="n">
        <f aca="false">SUMPRODUCT(($G$9:$G$10&lt;=AH$13)*((($H$9:$H$10="")+($H$9:$H$10&gt;=AH$13))&gt;0)*$I$9:$I$10)</f>
        <v>541.916666666667</v>
      </c>
      <c r="AI16" s="11" t="n">
        <f aca="false">SUMPRODUCT(($G$9:$G$10&lt;=AI$13)*((($H$9:$H$10="")+($H$9:$H$10&gt;=AI$13))&gt;0)*$I$9:$I$10)</f>
        <v>541.916666666667</v>
      </c>
      <c r="AJ16" s="11" t="n">
        <f aca="false">SUMPRODUCT(($G$9:$G$10&lt;=AJ$13)*((($H$9:$H$10="")+($H$9:$H$10&gt;=AJ$13))&gt;0)*$I$9:$I$10)</f>
        <v>541.916666666667</v>
      </c>
      <c r="AK16" s="11" t="n">
        <f aca="false">SUMPRODUCT(($G$9:$G$10&lt;=AK$13)*((($H$9:$H$10="")+($H$9:$H$10&gt;=AK$13))&gt;0)*$I$9:$I$10)</f>
        <v>541.916666666667</v>
      </c>
      <c r="AL16" s="11" t="n">
        <f aca="false">SUMPRODUCT(($G$9:$G$10&lt;=AL$13)*((($H$9:$H$10="")+($H$9:$H$10&gt;=AL$13))&gt;0)*$I$9:$I$10)</f>
        <v>541.916666666667</v>
      </c>
    </row>
    <row r="17" customFormat="false" ht="15" hidden="false" customHeight="true" outlineLevel="0" collapsed="false">
      <c r="A17" s="8" t="s">
        <v>456</v>
      </c>
      <c r="B17" s="9" t="n">
        <f aca="false">SUMPRODUCT(($G$9:$G$10&lt;=B$13)*((($H$9:$H$10="")+($H$9:$H$10&gt;=B$13))&gt;0)*$J$9:$J$10)+SUMPRODUCT(($G$9:$G$10=B$13)*$C$9:$C$10)</f>
        <v>0</v>
      </c>
      <c r="C17" s="9" t="n">
        <f aca="false">SUMPRODUCT(($G$9:$G$10&lt;=C$13)*((($H$9:$H$10="")+($H$9:$H$10&gt;=C$13))&gt;0)*$J$9:$J$10)+SUMPRODUCT(($G$9:$G$10=C$13)*$C$9:$C$10)</f>
        <v>0</v>
      </c>
      <c r="D17" s="9" t="n">
        <f aca="false">SUMPRODUCT(($G$9:$G$10&lt;=D$13)*((($H$9:$H$10="")+($H$9:$H$10&gt;=D$13))&gt;0)*$J$9:$J$10)+SUMPRODUCT(($G$9:$G$10=D$13)*$C$9:$C$10)</f>
        <v>0</v>
      </c>
      <c r="E17" s="9" t="n">
        <f aca="false">SUMPRODUCT(($G$9:$G$10&lt;=E$13)*((($H$9:$H$10="")+($H$9:$H$10&gt;=E$13))&gt;0)*$J$9:$J$10)+SUMPRODUCT(($G$9:$G$10=E$13)*$C$9:$C$10)</f>
        <v>87500</v>
      </c>
      <c r="F17" s="9" t="n">
        <f aca="false">SUMPRODUCT(($G$9:$G$10&lt;=F$13)*((($H$9:$H$10="")+($H$9:$H$10&gt;=F$13))&gt;0)*$J$9:$J$10)+SUMPRODUCT(($G$9:$G$10=F$13)*$C$9:$C$10)</f>
        <v>87500</v>
      </c>
      <c r="G17" s="9" t="n">
        <f aca="false">SUMPRODUCT(($G$9:$G$10&lt;=G$13)*((($H$9:$H$10="")+($H$9:$H$10&gt;=G$13))&gt;0)*$J$9:$J$10)+SUMPRODUCT(($G$9:$G$10=G$13)*$C$9:$C$10)</f>
        <v>87500</v>
      </c>
      <c r="H17" s="9" t="n">
        <f aca="false">SUMPRODUCT(($G$9:$G$10&lt;=H$13)*((($H$9:$H$10="")+($H$9:$H$10&gt;=H$13))&gt;0)*$J$9:$J$10)+SUMPRODUCT(($G$9:$G$10=H$13)*$C$9:$C$10)</f>
        <v>87500</v>
      </c>
      <c r="I17" s="9" t="n">
        <f aca="false">SUMPRODUCT(($G$9:$G$10&lt;=I$13)*((($H$9:$H$10="")+($H$9:$H$10&gt;=I$13))&gt;0)*$J$9:$J$10)+SUMPRODUCT(($G$9:$G$10=I$13)*$C$9:$C$10)</f>
        <v>87500</v>
      </c>
      <c r="J17" s="9" t="n">
        <f aca="false">SUMPRODUCT(($G$9:$G$10&lt;=J$13)*((($H$9:$H$10="")+($H$9:$H$10&gt;=J$13))&gt;0)*$J$9:$J$10)+SUMPRODUCT(($G$9:$G$10=J$13)*$C$9:$C$10)</f>
        <v>87500</v>
      </c>
      <c r="K17" s="9" t="n">
        <f aca="false">SUMPRODUCT(($G$9:$G$10&lt;=K$13)*((($H$9:$H$10="")+($H$9:$H$10&gt;=K$13))&gt;0)*$J$9:$J$10)+SUMPRODUCT(($G$9:$G$10=K$13)*$C$9:$C$10)</f>
        <v>87500</v>
      </c>
      <c r="L17" s="42" t="n">
        <f aca="false">SUMPRODUCT(($G$9:$G$10&lt;=L$13)*((($H$9:$H$10="")+($H$9:$H$10&gt;=L$13))&gt;0)*$J$9:$J$10)+SUMPRODUCT(($G$9:$G$10=L$13)*$C$9:$C$10)</f>
        <v>87500</v>
      </c>
      <c r="M17" s="9" t="n">
        <f aca="false">SUMPRODUCT(($G$9:$G$10&lt;=M$13)*((($H$9:$H$10="")+($H$9:$H$10&gt;=M$13))&gt;0)*$J$9:$J$10)+SUMPRODUCT(($G$9:$G$10=M$13)*$C$9:$C$10)</f>
        <v>87500</v>
      </c>
      <c r="N17" s="9" t="n">
        <f aca="false">SUMPRODUCT(($G$9:$G$10&lt;=N$13)*((($H$9:$H$10="")+($H$9:$H$10&gt;=N$13))&gt;0)*$J$9:$J$10)+SUMPRODUCT(($G$9:$G$10=N$13)*$C$9:$C$10)</f>
        <v>87500</v>
      </c>
      <c r="O17" s="9" t="n">
        <f aca="false">SUMPRODUCT(($G$9:$G$10&lt;=O$13)*((($H$9:$H$10="")+($H$9:$H$10&gt;=O$13))&gt;0)*$J$9:$J$10)+SUMPRODUCT(($G$9:$G$10=O$13)*$C$9:$C$10)</f>
        <v>87500</v>
      </c>
      <c r="P17" s="9" t="n">
        <f aca="false">SUMPRODUCT(($G$9:$G$10&lt;=P$13)*((($H$9:$H$10="")+($H$9:$H$10&gt;=P$13))&gt;0)*$J$9:$J$10)+SUMPRODUCT(($G$9:$G$10=P$13)*$C$9:$C$10)</f>
        <v>87500</v>
      </c>
      <c r="Q17" s="9" t="n">
        <f aca="false">SUMPRODUCT(($G$9:$G$10&lt;=Q$13)*((($H$9:$H$10="")+($H$9:$H$10&gt;=Q$13))&gt;0)*$J$9:$J$10)+SUMPRODUCT(($G$9:$G$10=Q$13)*$C$9:$C$10)</f>
        <v>87500</v>
      </c>
      <c r="R17" s="9" t="n">
        <f aca="false">SUMPRODUCT(($G$9:$G$10&lt;=R$13)*((($H$9:$H$10="")+($H$9:$H$10&gt;=R$13))&gt;0)*$J$9:$J$10)+SUMPRODUCT(($G$9:$G$10=R$13)*$C$9:$C$10)</f>
        <v>87500</v>
      </c>
      <c r="S17" s="9" t="n">
        <f aca="false">SUMPRODUCT(($G$9:$G$10&lt;=S$13)*((($H$9:$H$10="")+($H$9:$H$10&gt;=S$13))&gt;0)*$J$9:$J$10)+SUMPRODUCT(($G$9:$G$10=S$13)*$C$9:$C$10)</f>
        <v>87500</v>
      </c>
      <c r="T17" s="9" t="n">
        <f aca="false">SUMPRODUCT(($G$9:$G$10&lt;=T$13)*((($H$9:$H$10="")+($H$9:$H$10&gt;=T$13))&gt;0)*$J$9:$J$10)+SUMPRODUCT(($G$9:$G$10=T$13)*$C$9:$C$10)</f>
        <v>87500</v>
      </c>
      <c r="U17" s="9" t="n">
        <f aca="false">SUMPRODUCT(($G$9:$G$10&lt;=U$13)*((($H$9:$H$10="")+($H$9:$H$10&gt;=U$13))&gt;0)*$J$9:$J$10)+SUMPRODUCT(($G$9:$G$10=U$13)*$C$9:$C$10)</f>
        <v>87500</v>
      </c>
      <c r="V17" s="9" t="n">
        <f aca="false">SUMPRODUCT(($G$9:$G$10&lt;=V$13)*((($H$9:$H$10="")+($H$9:$H$10&gt;=V$13))&gt;0)*$J$9:$J$10)+SUMPRODUCT(($G$9:$G$10=V$13)*$C$9:$C$10)</f>
        <v>87500</v>
      </c>
      <c r="W17" s="9" t="n">
        <f aca="false">SUMPRODUCT(($G$9:$G$10&lt;=W$13)*((($H$9:$H$10="")+($H$9:$H$10&gt;=W$13))&gt;0)*$J$9:$J$10)+SUMPRODUCT(($G$9:$G$10=W$13)*$C$9:$C$10)</f>
        <v>87500</v>
      </c>
      <c r="X17" s="9" t="n">
        <f aca="false">SUMPRODUCT(($G$9:$G$10&lt;=X$13)*((($H$9:$H$10="")+($H$9:$H$10&gt;=X$13))&gt;0)*$J$9:$J$10)+SUMPRODUCT(($G$9:$G$10=X$13)*$C$9:$C$10)</f>
        <v>87500</v>
      </c>
      <c r="Y17" s="9" t="n">
        <f aca="false">SUMPRODUCT(($G$9:$G$10&lt;=Y$13)*((($H$9:$H$10="")+($H$9:$H$10&gt;=Y$13))&gt;0)*$J$9:$J$10)+SUMPRODUCT(($G$9:$G$10=Y$13)*$C$9:$C$10)</f>
        <v>87500</v>
      </c>
      <c r="Z17" s="9" t="n">
        <f aca="false">SUMPRODUCT(($G$9:$G$10&lt;=Z$13)*((($H$9:$H$10="")+($H$9:$H$10&gt;=Z$13))&gt;0)*$J$9:$J$10)+SUMPRODUCT(($G$9:$G$10=Z$13)*$C$9:$C$10)</f>
        <v>87500</v>
      </c>
      <c r="AA17" s="9" t="n">
        <f aca="false">SUMPRODUCT(($G$9:$G$10&lt;=AA$13)*((($H$9:$H$10="")+($H$9:$H$10&gt;=AA$13))&gt;0)*$J$9:$J$10)+SUMPRODUCT(($G$9:$G$10=AA$13)*$C$9:$C$10)</f>
        <v>87500</v>
      </c>
      <c r="AB17" s="9" t="n">
        <f aca="false">SUMPRODUCT(($G$9:$G$10&lt;=AB$13)*((($H$9:$H$10="")+($H$9:$H$10&gt;=AB$13))&gt;0)*$J$9:$J$10)+SUMPRODUCT(($G$9:$G$10=AB$13)*$C$9:$C$10)</f>
        <v>87500</v>
      </c>
      <c r="AC17" s="9" t="n">
        <f aca="false">SUMPRODUCT(($G$9:$G$10&lt;=AC$13)*((($H$9:$H$10="")+($H$9:$H$10&gt;=AC$13))&gt;0)*$J$9:$J$10)+SUMPRODUCT(($G$9:$G$10=AC$13)*$C$9:$C$10)</f>
        <v>87500</v>
      </c>
      <c r="AD17" s="9" t="n">
        <f aca="false">SUMPRODUCT(($G$9:$G$10&lt;=AD$13)*((($H$9:$H$10="")+($H$9:$H$10&gt;=AD$13))&gt;0)*$J$9:$J$10)+SUMPRODUCT(($G$9:$G$10=AD$13)*$C$9:$C$10)</f>
        <v>87500</v>
      </c>
      <c r="AE17" s="9" t="n">
        <f aca="false">SUMPRODUCT(($G$9:$G$10&lt;=AE$13)*((($H$9:$H$10="")+($H$9:$H$10&gt;=AE$13))&gt;0)*$J$9:$J$10)+SUMPRODUCT(($G$9:$G$10=AE$13)*$C$9:$C$10)</f>
        <v>87500</v>
      </c>
      <c r="AF17" s="9" t="n">
        <f aca="false">SUMPRODUCT(($G$9:$G$10&lt;=AF$13)*((($H$9:$H$10="")+($H$9:$H$10&gt;=AF$13))&gt;0)*$J$9:$J$10)+SUMPRODUCT(($G$9:$G$10=AF$13)*$C$9:$C$10)</f>
        <v>87500</v>
      </c>
      <c r="AG17" s="9" t="n">
        <f aca="false">SUMPRODUCT(($G$9:$G$10&lt;=AG$13)*((($H$9:$H$10="")+($H$9:$H$10&gt;=AG$13))&gt;0)*$J$9:$J$10)+SUMPRODUCT(($G$9:$G$10=AG$13)*$C$9:$C$10)</f>
        <v>87500</v>
      </c>
      <c r="AH17" s="9" t="n">
        <f aca="false">SUMPRODUCT(($G$9:$G$10&lt;=AH$13)*((($H$9:$H$10="")+($H$9:$H$10&gt;=AH$13))&gt;0)*$J$9:$J$10)+SUMPRODUCT(($G$9:$G$10=AH$13)*$C$9:$C$10)</f>
        <v>87500</v>
      </c>
      <c r="AI17" s="9" t="n">
        <f aca="false">SUMPRODUCT(($G$9:$G$10&lt;=AI$13)*((($H$9:$H$10="")+($H$9:$H$10&gt;=AI$13))&gt;0)*$J$9:$J$10)+SUMPRODUCT(($G$9:$G$10=AI$13)*$C$9:$C$10)</f>
        <v>87500</v>
      </c>
      <c r="AJ17" s="9" t="n">
        <f aca="false">SUMPRODUCT(($G$9:$G$10&lt;=AJ$13)*((($H$9:$H$10="")+($H$9:$H$10&gt;=AJ$13))&gt;0)*$J$9:$J$10)+SUMPRODUCT(($G$9:$G$10=AJ$13)*$C$9:$C$10)</f>
        <v>87500</v>
      </c>
      <c r="AK17" s="9" t="n">
        <f aca="false">SUMPRODUCT(($G$9:$G$10&lt;=AK$13)*((($H$9:$H$10="")+($H$9:$H$10&gt;=AK$13))&gt;0)*$J$9:$J$10)+SUMPRODUCT(($G$9:$G$10=AK$13)*$C$9:$C$10)</f>
        <v>87500</v>
      </c>
      <c r="AL17" s="9" t="n">
        <f aca="false">SUMPRODUCT(($G$9:$G$10&lt;=AL$13)*((($H$9:$H$10="")+($H$9:$H$10&gt;=AL$13))&gt;0)*$J$9:$J$10)+SUMPRODUCT(($G$9:$G$10=AL$13)*$C$9:$C$10)</f>
        <v>87500</v>
      </c>
    </row>
    <row r="18" customFormat="false" ht="15" hidden="false" customHeight="true" outlineLevel="0" collapsed="false">
      <c r="A18" s="8" t="s">
        <v>457</v>
      </c>
      <c r="B18" s="6" t="n">
        <f aca="false">B15+B17</f>
        <v>0</v>
      </c>
      <c r="C18" s="6" t="n">
        <f aca="false">C15+C17</f>
        <v>135000</v>
      </c>
      <c r="D18" s="6" t="n">
        <f aca="false">D15+D17</f>
        <v>190000</v>
      </c>
      <c r="E18" s="6" t="n">
        <f aca="false">E15+E17</f>
        <v>247500</v>
      </c>
      <c r="F18" s="6" t="n">
        <f aca="false">F15+F17</f>
        <v>247500</v>
      </c>
      <c r="G18" s="6" t="n">
        <f aca="false">G15+G17</f>
        <v>247500</v>
      </c>
      <c r="H18" s="6" t="n">
        <f aca="false">H15+H17</f>
        <v>247500</v>
      </c>
      <c r="I18" s="6" t="n">
        <f aca="false">I15+I17</f>
        <v>247500</v>
      </c>
      <c r="J18" s="6" t="n">
        <f aca="false">J15+J17</f>
        <v>247500</v>
      </c>
      <c r="K18" s="6" t="n">
        <f aca="false">K15+K17</f>
        <v>247500</v>
      </c>
      <c r="L18" s="43" t="n">
        <f aca="false">L15+L17</f>
        <v>247500</v>
      </c>
      <c r="M18" s="6" t="n">
        <f aca="false">M15+M17</f>
        <v>247500</v>
      </c>
      <c r="N18" s="6" t="n">
        <f aca="false">N15+N17</f>
        <v>247500</v>
      </c>
      <c r="O18" s="6" t="n">
        <f aca="false">O15+O17</f>
        <v>247500</v>
      </c>
      <c r="P18" s="6" t="n">
        <f aca="false">P15+P17</f>
        <v>247500</v>
      </c>
      <c r="Q18" s="6" t="n">
        <f aca="false">Q15+Q17</f>
        <v>247500</v>
      </c>
      <c r="R18" s="6" t="n">
        <f aca="false">R15+R17</f>
        <v>247500</v>
      </c>
      <c r="S18" s="6" t="n">
        <f aca="false">S15+S17</f>
        <v>247500</v>
      </c>
      <c r="T18" s="6" t="n">
        <f aca="false">T15+T17</f>
        <v>247500</v>
      </c>
      <c r="U18" s="6" t="n">
        <f aca="false">U15+U17</f>
        <v>247500</v>
      </c>
      <c r="V18" s="6" t="n">
        <f aca="false">V15+V17</f>
        <v>247500</v>
      </c>
      <c r="W18" s="6" t="n">
        <f aca="false">W15+W17</f>
        <v>247500</v>
      </c>
      <c r="X18" s="6" t="n">
        <f aca="false">X15+X17</f>
        <v>247500</v>
      </c>
      <c r="Y18" s="6" t="n">
        <f aca="false">Y15+Y17</f>
        <v>247500</v>
      </c>
      <c r="Z18" s="6" t="n">
        <f aca="false">Z15+Z17</f>
        <v>247500</v>
      </c>
      <c r="AA18" s="6" t="n">
        <f aca="false">AA15+AA17</f>
        <v>247500</v>
      </c>
      <c r="AB18" s="6" t="n">
        <f aca="false">AB15+AB17</f>
        <v>247500</v>
      </c>
      <c r="AC18" s="6" t="n">
        <f aca="false">AC15+AC17</f>
        <v>247500</v>
      </c>
      <c r="AD18" s="6" t="n">
        <f aca="false">AD15+AD17</f>
        <v>247500</v>
      </c>
      <c r="AE18" s="6" t="n">
        <f aca="false">AE15+AE17</f>
        <v>247500</v>
      </c>
      <c r="AF18" s="6" t="n">
        <f aca="false">AF15+AF17</f>
        <v>247500</v>
      </c>
      <c r="AG18" s="6" t="n">
        <f aca="false">AG15+AG17</f>
        <v>247500</v>
      </c>
      <c r="AH18" s="6" t="n">
        <f aca="false">AH15+AH17</f>
        <v>247500</v>
      </c>
      <c r="AI18" s="6" t="n">
        <f aca="false">AI15+AI17</f>
        <v>247500</v>
      </c>
      <c r="AJ18" s="6" t="n">
        <f aca="false">AJ15+AJ17</f>
        <v>247500</v>
      </c>
      <c r="AK18" s="6" t="n">
        <f aca="false">AK15+AK17</f>
        <v>247500</v>
      </c>
      <c r="AL18" s="6" t="n">
        <f aca="false">AL15+AL17</f>
        <v>247500</v>
      </c>
    </row>
    <row r="19" customFormat="false" ht="15" hidden="false" customHeight="true" outlineLevel="0" collapsed="false">
      <c r="A19" s="8" t="s">
        <v>458</v>
      </c>
      <c r="B19" s="9" t="n">
        <f aca="false">IFERROR(B15/B14,0)</f>
        <v>0</v>
      </c>
      <c r="C19" s="9" t="n">
        <f aca="false">IFERROR(C15/C14,0)</f>
        <v>948.863318996816</v>
      </c>
      <c r="D19" s="9" t="n">
        <f aca="false">IFERROR(D15/D14,0)</f>
        <v>1094.93995767555</v>
      </c>
      <c r="E19" s="9" t="n">
        <f aca="false">IFERROR(E15/E14,0)</f>
        <v>922.054701200465</v>
      </c>
      <c r="F19" s="9" t="n">
        <f aca="false">IFERROR(F15/F14,0)</f>
        <v>922.054701200465</v>
      </c>
      <c r="G19" s="9" t="n">
        <f aca="false">IFERROR(G15/G14,0)</f>
        <v>922.054701200465</v>
      </c>
      <c r="H19" s="9" t="n">
        <f aca="false">IFERROR(H15/H14,0)</f>
        <v>922.054701200465</v>
      </c>
      <c r="I19" s="9" t="n">
        <f aca="false">IFERROR(I15/I14,0)</f>
        <v>922.054701200465</v>
      </c>
      <c r="J19" s="9" t="n">
        <f aca="false">IFERROR(J15/J14,0)</f>
        <v>922.054701200465</v>
      </c>
      <c r="K19" s="9" t="n">
        <f aca="false">IFERROR(K15/K14,0)</f>
        <v>922.054701200465</v>
      </c>
      <c r="L19" s="42" t="n">
        <f aca="false">IFERROR(L15/L14,0)</f>
        <v>922.054701200465</v>
      </c>
      <c r="M19" s="9" t="n">
        <f aca="false">IFERROR(M15/M14,0)</f>
        <v>922.054701200465</v>
      </c>
      <c r="N19" s="9" t="n">
        <f aca="false">IFERROR(N15/N14,0)</f>
        <v>922.054701200465</v>
      </c>
      <c r="O19" s="9" t="n">
        <f aca="false">IFERROR(O15/O14,0)</f>
        <v>922.054701200465</v>
      </c>
      <c r="P19" s="9" t="n">
        <f aca="false">IFERROR(P15/P14,0)</f>
        <v>922.054701200465</v>
      </c>
      <c r="Q19" s="9" t="n">
        <f aca="false">IFERROR(Q15/Q14,0)</f>
        <v>922.054701200465</v>
      </c>
      <c r="R19" s="9" t="n">
        <f aca="false">IFERROR(R15/R14,0)</f>
        <v>922.054701200465</v>
      </c>
      <c r="S19" s="9" t="n">
        <f aca="false">IFERROR(S15/S14,0)</f>
        <v>922.054701200465</v>
      </c>
      <c r="T19" s="9" t="n">
        <f aca="false">IFERROR(T15/T14,0)</f>
        <v>922.054701200465</v>
      </c>
      <c r="U19" s="9" t="n">
        <f aca="false">IFERROR(U15/U14,0)</f>
        <v>922.054701200465</v>
      </c>
      <c r="V19" s="9" t="n">
        <f aca="false">IFERROR(V15/V14,0)</f>
        <v>922.054701200465</v>
      </c>
      <c r="W19" s="9" t="n">
        <f aca="false">IFERROR(W15/W14,0)</f>
        <v>922.054701200465</v>
      </c>
      <c r="X19" s="9" t="n">
        <f aca="false">IFERROR(X15/X14,0)</f>
        <v>922.054701200465</v>
      </c>
      <c r="Y19" s="9" t="n">
        <f aca="false">IFERROR(Y15/Y14,0)</f>
        <v>922.054701200465</v>
      </c>
      <c r="Z19" s="9" t="n">
        <f aca="false">IFERROR(Z15/Z14,0)</f>
        <v>922.054701200465</v>
      </c>
      <c r="AA19" s="9" t="n">
        <f aca="false">IFERROR(AA15/AA14,0)</f>
        <v>922.054701200465</v>
      </c>
      <c r="AB19" s="9" t="n">
        <f aca="false">IFERROR(AB15/AB14,0)</f>
        <v>922.054701200465</v>
      </c>
      <c r="AC19" s="9" t="n">
        <f aca="false">IFERROR(AC15/AC14,0)</f>
        <v>922.054701200465</v>
      </c>
      <c r="AD19" s="9" t="n">
        <f aca="false">IFERROR(AD15/AD14,0)</f>
        <v>922.054701200465</v>
      </c>
      <c r="AE19" s="9" t="n">
        <f aca="false">IFERROR(AE15/AE14,0)</f>
        <v>922.054701200465</v>
      </c>
      <c r="AF19" s="9" t="n">
        <f aca="false">IFERROR(AF15/AF14,0)</f>
        <v>922.054701200465</v>
      </c>
      <c r="AG19" s="9" t="n">
        <f aca="false">IFERROR(AG15/AG14,0)</f>
        <v>922.054701200465</v>
      </c>
      <c r="AH19" s="9" t="n">
        <f aca="false">IFERROR(AH15/AH14,0)</f>
        <v>922.054701200465</v>
      </c>
      <c r="AI19" s="9" t="n">
        <f aca="false">IFERROR(AI15/AI14,0)</f>
        <v>922.054701200465</v>
      </c>
      <c r="AJ19" s="9" t="n">
        <f aca="false">IFERROR(AJ15/AJ14,0)</f>
        <v>922.054701200465</v>
      </c>
      <c r="AK19" s="9" t="n">
        <f aca="false">IFERROR(AK15/AK14,0)</f>
        <v>922.054701200465</v>
      </c>
      <c r="AL19" s="9" t="n">
        <f aca="false">IFERROR(AL15/AL14,0)</f>
        <v>922.054701200465</v>
      </c>
    </row>
    <row r="20" customFormat="false" ht="15" hidden="false" customHeight="true" outlineLevel="0" collapsed="false">
      <c r="A20" s="8" t="s">
        <v>459</v>
      </c>
      <c r="B20" s="9" t="n">
        <f aca="false">IFERROR(B17/B16,0)</f>
        <v>0</v>
      </c>
      <c r="C20" s="9" t="n">
        <f aca="false">IFERROR(C17/C16,0)</f>
        <v>0</v>
      </c>
      <c r="D20" s="9" t="n">
        <f aca="false">IFERROR(D17/D16,0)</f>
        <v>0</v>
      </c>
      <c r="E20" s="9" t="n">
        <f aca="false">IFERROR(E17/E16,0)</f>
        <v>161.463939720129</v>
      </c>
      <c r="F20" s="9" t="n">
        <f aca="false">IFERROR(F17/F16,0)</f>
        <v>161.463939720129</v>
      </c>
      <c r="G20" s="9" t="n">
        <f aca="false">IFERROR(G17/G16,0)</f>
        <v>161.463939720129</v>
      </c>
      <c r="H20" s="9" t="n">
        <f aca="false">IFERROR(H17/H16,0)</f>
        <v>161.463939720129</v>
      </c>
      <c r="I20" s="9" t="n">
        <f aca="false">IFERROR(I17/I16,0)</f>
        <v>161.463939720129</v>
      </c>
      <c r="J20" s="9" t="n">
        <f aca="false">IFERROR(J17/J16,0)</f>
        <v>161.463939720129</v>
      </c>
      <c r="K20" s="9" t="n">
        <f aca="false">IFERROR(K17/K16,0)</f>
        <v>161.463939720129</v>
      </c>
      <c r="L20" s="42" t="n">
        <f aca="false">IFERROR(L17/L16,0)</f>
        <v>161.463939720129</v>
      </c>
      <c r="M20" s="9" t="n">
        <f aca="false">IFERROR(M17/M16,0)</f>
        <v>161.463939720129</v>
      </c>
      <c r="N20" s="9" t="n">
        <f aca="false">IFERROR(N17/N16,0)</f>
        <v>161.463939720129</v>
      </c>
      <c r="O20" s="9" t="n">
        <f aca="false">IFERROR(O17/O16,0)</f>
        <v>161.463939720129</v>
      </c>
      <c r="P20" s="9" t="n">
        <f aca="false">IFERROR(P17/P16,0)</f>
        <v>161.463939720129</v>
      </c>
      <c r="Q20" s="9" t="n">
        <f aca="false">IFERROR(Q17/Q16,0)</f>
        <v>161.463939720129</v>
      </c>
      <c r="R20" s="9" t="n">
        <f aca="false">IFERROR(R17/R16,0)</f>
        <v>161.463939720129</v>
      </c>
      <c r="S20" s="9" t="n">
        <f aca="false">IFERROR(S17/S16,0)</f>
        <v>161.463939720129</v>
      </c>
      <c r="T20" s="9" t="n">
        <f aca="false">IFERROR(T17/T16,0)</f>
        <v>161.463939720129</v>
      </c>
      <c r="U20" s="9" t="n">
        <f aca="false">IFERROR(U17/U16,0)</f>
        <v>161.463939720129</v>
      </c>
      <c r="V20" s="9" t="n">
        <f aca="false">IFERROR(V17/V16,0)</f>
        <v>161.463939720129</v>
      </c>
      <c r="W20" s="9" t="n">
        <f aca="false">IFERROR(W17/W16,0)</f>
        <v>161.463939720129</v>
      </c>
      <c r="X20" s="9" t="n">
        <f aca="false">IFERROR(X17/X16,0)</f>
        <v>161.463939720129</v>
      </c>
      <c r="Y20" s="9" t="n">
        <f aca="false">IFERROR(Y17/Y16,0)</f>
        <v>161.463939720129</v>
      </c>
      <c r="Z20" s="9" t="n">
        <f aca="false">IFERROR(Z17/Z16,0)</f>
        <v>161.463939720129</v>
      </c>
      <c r="AA20" s="9" t="n">
        <f aca="false">IFERROR(AA17/AA16,0)</f>
        <v>161.463939720129</v>
      </c>
      <c r="AB20" s="9" t="n">
        <f aca="false">IFERROR(AB17/AB16,0)</f>
        <v>161.463939720129</v>
      </c>
      <c r="AC20" s="9" t="n">
        <f aca="false">IFERROR(AC17/AC16,0)</f>
        <v>161.463939720129</v>
      </c>
      <c r="AD20" s="9" t="n">
        <f aca="false">IFERROR(AD17/AD16,0)</f>
        <v>161.463939720129</v>
      </c>
      <c r="AE20" s="9" t="n">
        <f aca="false">IFERROR(AE17/AE16,0)</f>
        <v>161.463939720129</v>
      </c>
      <c r="AF20" s="9" t="n">
        <f aca="false">IFERROR(AF17/AF16,0)</f>
        <v>161.463939720129</v>
      </c>
      <c r="AG20" s="9" t="n">
        <f aca="false">IFERROR(AG17/AG16,0)</f>
        <v>161.463939720129</v>
      </c>
      <c r="AH20" s="9" t="n">
        <f aca="false">IFERROR(AH17/AH16,0)</f>
        <v>161.463939720129</v>
      </c>
      <c r="AI20" s="9" t="n">
        <f aca="false">IFERROR(AI17/AI16,0)</f>
        <v>161.463939720129</v>
      </c>
      <c r="AJ20" s="9" t="n">
        <f aca="false">IFERROR(AJ17/AJ16,0)</f>
        <v>161.463939720129</v>
      </c>
      <c r="AK20" s="9" t="n">
        <f aca="false">IFERROR(AK17/AK16,0)</f>
        <v>161.463939720129</v>
      </c>
      <c r="AL20" s="9" t="n">
        <f aca="false">IFERROR(AL17/AL16,0)</f>
        <v>161.463939720129</v>
      </c>
    </row>
    <row r="22" customFormat="false" ht="27.75" hidden="false" customHeight="true" outlineLevel="0" collapsed="false">
      <c r="A22" s="2"/>
      <c r="B22" s="2" t="s">
        <v>453</v>
      </c>
      <c r="C22" s="2" t="s">
        <v>454</v>
      </c>
      <c r="D22" s="2" t="s">
        <v>460</v>
      </c>
      <c r="E22" s="2" t="s">
        <v>455</v>
      </c>
      <c r="F22" s="2" t="s">
        <v>456</v>
      </c>
      <c r="G22" s="2" t="s">
        <v>461</v>
      </c>
    </row>
    <row r="23" customFormat="false" ht="15" hidden="false" customHeight="true" outlineLevel="0" collapsed="false">
      <c r="A23" s="5" t="s">
        <v>462</v>
      </c>
      <c r="B23" s="11" t="n">
        <f aca="false">SUM(B14:N14)</f>
        <v>2051.0559602649</v>
      </c>
      <c r="C23" s="9" t="n">
        <f aca="false">SUM(B15:N15)</f>
        <v>1925000</v>
      </c>
      <c r="D23" s="9" t="n">
        <f aca="false">IFERROR(C23/B23,0)</f>
        <v>938.540945392528</v>
      </c>
      <c r="E23" s="11" t="n">
        <f aca="false">SUM(B16:N16)</f>
        <v>5419.16666666667</v>
      </c>
      <c r="F23" s="9" t="n">
        <f aca="false">SUM(B17:N17)</f>
        <v>875000</v>
      </c>
      <c r="G23" s="9" t="n">
        <f aca="false">IFERROR(F23/E23,0)</f>
        <v>161.463939720129</v>
      </c>
    </row>
    <row r="24" customFormat="false" ht="15" hidden="false" customHeight="true" outlineLevel="0" collapsed="false">
      <c r="A24" s="5" t="s">
        <v>463</v>
      </c>
      <c r="B24" s="11" t="n">
        <f aca="false">SUM(O14:Z14)</f>
        <v>2082.3059602649</v>
      </c>
      <c r="C24" s="9" t="n">
        <f aca="false">SUM(O15:Z15)</f>
        <v>1920000</v>
      </c>
      <c r="D24" s="9" t="n">
        <f aca="false">IFERROR(C24/B24,0)</f>
        <v>922.054701200465</v>
      </c>
      <c r="E24" s="11" t="n">
        <f aca="false">SUM(O16:Z16)</f>
        <v>6503</v>
      </c>
      <c r="F24" s="9" t="n">
        <f aca="false">SUM(O17:Z17)</f>
        <v>1050000</v>
      </c>
      <c r="G24" s="9" t="n">
        <f aca="false">IFERROR(F24/E24,0)</f>
        <v>161.463939720129</v>
      </c>
    </row>
    <row r="25" customFormat="false" ht="14.25" hidden="false" customHeight="false" outlineLevel="0" collapsed="false">
      <c r="A25" s="5" t="s">
        <v>464</v>
      </c>
      <c r="B25" s="11" t="n">
        <f aca="false">SUM(AA14:AL14)</f>
        <v>2082.3059602649</v>
      </c>
      <c r="C25" s="9" t="n">
        <f aca="false">SUM(AA15:AL15)</f>
        <v>1920000</v>
      </c>
      <c r="D25" s="9" t="n">
        <f aca="false">IFERROR(C25/B25,0)</f>
        <v>922.054701200465</v>
      </c>
      <c r="E25" s="11" t="n">
        <f aca="false">SUM(AA16:AL16)</f>
        <v>6503</v>
      </c>
      <c r="F25" s="9" t="n">
        <f aca="false">SUM(AA17:AL17)</f>
        <v>1050000</v>
      </c>
      <c r="G25" s="9" t="n">
        <f aca="false">IFERROR(F25/E25,0)</f>
        <v>161.463939720129</v>
      </c>
    </row>
    <row r="26" customFormat="false" ht="48" hidden="false" customHeight="true" outlineLevel="0" collapsed="false">
      <c r="A26" s="30" t="s">
        <v>465</v>
      </c>
      <c r="B26" s="30"/>
      <c r="C26" s="30"/>
      <c r="D26" s="30"/>
      <c r="E26" s="30"/>
      <c r="F26" s="30"/>
      <c r="G26" s="30"/>
      <c r="H26" s="30"/>
      <c r="I26" s="30"/>
      <c r="J26" s="3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60"/>
    <col collapsed="false" customWidth="true" hidden="false" outlineLevel="0" max="3" min="3" style="1" width="55"/>
    <col collapsed="false" customWidth="true" hidden="false" outlineLevel="0" max="4" min="4" style="1" width="60"/>
  </cols>
  <sheetData>
    <row r="1" customFormat="false" ht="14.25" hidden="false" customHeight="true" outlineLevel="0" collapsed="false">
      <c r="A1" s="44" t="s">
        <v>466</v>
      </c>
      <c r="B1" s="44" t="s">
        <v>467</v>
      </c>
      <c r="C1" s="44" t="s">
        <v>468</v>
      </c>
      <c r="D1" s="44" t="s">
        <v>469</v>
      </c>
    </row>
    <row r="2" customFormat="false" ht="43" hidden="false" customHeight="true" outlineLevel="0" collapsed="false">
      <c r="A2" s="7" t="s">
        <v>470</v>
      </c>
      <c r="B2" s="7" t="s">
        <v>471</v>
      </c>
      <c r="C2" s="7" t="s">
        <v>472</v>
      </c>
      <c r="D2" s="45" t="s">
        <v>473</v>
      </c>
    </row>
    <row r="3" customFormat="false" ht="43" hidden="false" customHeight="true" outlineLevel="0" collapsed="false">
      <c r="A3" s="7" t="s">
        <v>474</v>
      </c>
      <c r="B3" s="7" t="s">
        <v>475</v>
      </c>
      <c r="C3" s="7" t="s">
        <v>476</v>
      </c>
      <c r="D3" s="45" t="s">
        <v>477</v>
      </c>
    </row>
    <row r="4" customFormat="false" ht="43" hidden="false" customHeight="true" outlineLevel="0" collapsed="false">
      <c r="A4" s="7" t="s">
        <v>478</v>
      </c>
      <c r="B4" s="7" t="s">
        <v>479</v>
      </c>
      <c r="C4" s="7" t="s">
        <v>480</v>
      </c>
      <c r="D4" s="45" t="s">
        <v>481</v>
      </c>
    </row>
    <row r="5" customFormat="false" ht="43" hidden="false" customHeight="true" outlineLevel="0" collapsed="false">
      <c r="A5" s="7" t="s">
        <v>482</v>
      </c>
      <c r="B5" s="7" t="s">
        <v>483</v>
      </c>
      <c r="C5" s="7" t="s">
        <v>484</v>
      </c>
      <c r="D5" s="45" t="s">
        <v>485</v>
      </c>
    </row>
    <row r="6" customFormat="false" ht="43" hidden="false" customHeight="true" outlineLevel="0" collapsed="false">
      <c r="A6" s="7" t="s">
        <v>486</v>
      </c>
      <c r="B6" s="7" t="s">
        <v>487</v>
      </c>
      <c r="C6" s="7" t="s">
        <v>488</v>
      </c>
      <c r="D6" s="45" t="s">
        <v>489</v>
      </c>
    </row>
    <row r="7" customFormat="false" ht="43" hidden="false" customHeight="true" outlineLevel="0" collapsed="false">
      <c r="A7" s="7" t="s">
        <v>490</v>
      </c>
      <c r="B7" s="7" t="s">
        <v>491</v>
      </c>
      <c r="C7" s="7" t="s">
        <v>492</v>
      </c>
      <c r="D7" s="45" t="s">
        <v>493</v>
      </c>
    </row>
    <row r="8" customFormat="false" ht="43" hidden="false" customHeight="true" outlineLevel="0" collapsed="false">
      <c r="A8" s="7" t="s">
        <v>494</v>
      </c>
      <c r="B8" s="7" t="s">
        <v>495</v>
      </c>
      <c r="C8" s="7" t="s">
        <v>496</v>
      </c>
      <c r="D8" s="45" t="s">
        <v>497</v>
      </c>
    </row>
    <row r="9" customFormat="false" ht="43" hidden="false" customHeight="true" outlineLevel="0" collapsed="false">
      <c r="A9" s="7" t="s">
        <v>498</v>
      </c>
      <c r="B9" s="7" t="s">
        <v>499</v>
      </c>
      <c r="C9" s="7" t="s">
        <v>500</v>
      </c>
      <c r="D9" s="45" t="s">
        <v>501</v>
      </c>
    </row>
    <row r="10" customFormat="false" ht="14.25" hidden="false" customHeight="true" outlineLevel="0" collapsed="false">
      <c r="A10" s="7" t="s">
        <v>502</v>
      </c>
      <c r="B10" s="7" t="s">
        <v>503</v>
      </c>
      <c r="C10" s="7" t="s">
        <v>504</v>
      </c>
      <c r="D10" s="45" t="s">
        <v>505</v>
      </c>
    </row>
    <row r="11" customFormat="false" ht="28.5" hidden="false" customHeight="true" outlineLevel="0" collapsed="false">
      <c r="A11" s="7" t="s">
        <v>506</v>
      </c>
      <c r="B11" s="7" t="s">
        <v>507</v>
      </c>
      <c r="C11" s="7" t="s">
        <v>508</v>
      </c>
      <c r="D11" s="45" t="s">
        <v>509</v>
      </c>
    </row>
    <row r="12" customFormat="false" ht="28.5" hidden="false" customHeight="true" outlineLevel="0" collapsed="false">
      <c r="A12" s="7" t="s">
        <v>510</v>
      </c>
      <c r="B12" s="7" t="s">
        <v>511</v>
      </c>
      <c r="C12" s="7" t="s">
        <v>512</v>
      </c>
      <c r="D12" s="45" t="s">
        <v>513</v>
      </c>
    </row>
    <row r="13" customFormat="false" ht="28.5" hidden="false" customHeight="true" outlineLevel="0" collapsed="false">
      <c r="A13" s="7" t="s">
        <v>514</v>
      </c>
      <c r="B13" s="7" t="s">
        <v>515</v>
      </c>
      <c r="C13" s="7" t="s">
        <v>516</v>
      </c>
      <c r="D13" s="45" t="s">
        <v>517</v>
      </c>
    </row>
    <row r="14" customFormat="false" ht="28.5" hidden="false" customHeight="true" outlineLevel="0" collapsed="false">
      <c r="A14" s="7" t="s">
        <v>518</v>
      </c>
      <c r="B14" s="7" t="s">
        <v>519</v>
      </c>
      <c r="C14" s="7" t="s">
        <v>520</v>
      </c>
      <c r="D14" s="45" t="s">
        <v>521</v>
      </c>
    </row>
    <row r="15" customFormat="false" ht="14.25" hidden="false" customHeight="true" outlineLevel="0" collapsed="false">
      <c r="A15" s="7" t="s">
        <v>522</v>
      </c>
      <c r="B15" s="7" t="s">
        <v>523</v>
      </c>
      <c r="C15" s="7" t="s">
        <v>524</v>
      </c>
      <c r="D15" s="45" t="s">
        <v>525</v>
      </c>
    </row>
    <row r="16" customFormat="false" ht="28.5" hidden="false" customHeight="true" outlineLevel="0" collapsed="false">
      <c r="A16" s="7" t="s">
        <v>526</v>
      </c>
      <c r="B16" s="7" t="s">
        <v>527</v>
      </c>
      <c r="C16" s="7" t="s">
        <v>528</v>
      </c>
      <c r="D16" s="45" t="s">
        <v>529</v>
      </c>
    </row>
    <row r="17" customFormat="false" ht="28.5" hidden="false" customHeight="true" outlineLevel="0" collapsed="false">
      <c r="A17" s="7" t="s">
        <v>530</v>
      </c>
      <c r="B17" s="7" t="s">
        <v>531</v>
      </c>
      <c r="C17" s="7" t="s">
        <v>532</v>
      </c>
      <c r="D17" s="45" t="s">
        <v>533</v>
      </c>
    </row>
    <row r="18" customFormat="false" ht="28.5" hidden="false" customHeight="true" outlineLevel="0" collapsed="false">
      <c r="A18" s="7" t="s">
        <v>534</v>
      </c>
      <c r="B18" s="7" t="s">
        <v>535</v>
      </c>
      <c r="C18" s="7" t="s">
        <v>536</v>
      </c>
      <c r="D18" s="45" t="s">
        <v>537</v>
      </c>
    </row>
    <row r="19" customFormat="false" ht="28.5" hidden="false" customHeight="true" outlineLevel="0" collapsed="false">
      <c r="A19" s="7" t="s">
        <v>538</v>
      </c>
      <c r="B19" s="7" t="s">
        <v>539</v>
      </c>
      <c r="C19" s="7" t="s">
        <v>540</v>
      </c>
      <c r="D19" s="7" t="s">
        <v>541</v>
      </c>
    </row>
    <row r="20" customFormat="false" ht="14.25" hidden="false" customHeight="true" outlineLevel="0" collapsed="false">
      <c r="A20" s="7" t="s">
        <v>542</v>
      </c>
      <c r="B20" s="7" t="s">
        <v>543</v>
      </c>
      <c r="C20" s="7" t="s">
        <v>544</v>
      </c>
      <c r="D20" s="45" t="s">
        <v>545</v>
      </c>
    </row>
    <row r="21" customFormat="false" ht="27.75" hidden="false" customHeight="true" outlineLevel="0" collapsed="false">
      <c r="A21" s="7" t="s">
        <v>546</v>
      </c>
      <c r="B21" s="7" t="s">
        <v>547</v>
      </c>
      <c r="C21" s="7" t="s">
        <v>548</v>
      </c>
      <c r="D21" s="45" t="s">
        <v>549</v>
      </c>
    </row>
    <row r="22" customFormat="false" ht="27.75" hidden="false" customHeight="true" outlineLevel="0" collapsed="false">
      <c r="A22" s="7" t="s">
        <v>550</v>
      </c>
      <c r="B22" s="7" t="s">
        <v>551</v>
      </c>
      <c r="C22" s="7" t="s">
        <v>552</v>
      </c>
      <c r="D22" s="45" t="s">
        <v>553</v>
      </c>
    </row>
    <row r="23" customFormat="false" ht="27.75" hidden="false" customHeight="true" outlineLevel="0" collapsed="false">
      <c r="A23" s="7" t="s">
        <v>554</v>
      </c>
      <c r="B23" s="7" t="s">
        <v>555</v>
      </c>
      <c r="C23" s="7" t="s">
        <v>556</v>
      </c>
      <c r="D23" s="45" t="s">
        <v>557</v>
      </c>
    </row>
    <row r="24" customFormat="false" ht="27.75" hidden="false" customHeight="true" outlineLevel="0" collapsed="false">
      <c r="A24" s="7" t="s">
        <v>558</v>
      </c>
      <c r="B24" s="7" t="s">
        <v>559</v>
      </c>
      <c r="C24" s="7" t="s">
        <v>560</v>
      </c>
      <c r="D24" s="45" t="s">
        <v>561</v>
      </c>
    </row>
    <row r="25" customFormat="false" ht="27.75" hidden="false" customHeight="true" outlineLevel="0" collapsed="false">
      <c r="A25" s="7" t="s">
        <v>562</v>
      </c>
      <c r="B25" s="7" t="s">
        <v>563</v>
      </c>
      <c r="C25" s="7" t="s">
        <v>564</v>
      </c>
      <c r="D25" s="45" t="s">
        <v>565</v>
      </c>
    </row>
    <row r="26" customFormat="false" ht="14.25" hidden="false" customHeight="true" outlineLevel="0" collapsed="false">
      <c r="A26" s="7" t="s">
        <v>566</v>
      </c>
      <c r="B26" s="7" t="s">
        <v>567</v>
      </c>
      <c r="C26" s="7" t="s">
        <v>568</v>
      </c>
      <c r="D26" s="45" t="s">
        <v>569</v>
      </c>
    </row>
    <row r="27" customFormat="false" ht="28.5" hidden="false" customHeight="true" outlineLevel="0" collapsed="false">
      <c r="A27" s="7" t="s">
        <v>570</v>
      </c>
      <c r="B27" s="7" t="s">
        <v>571</v>
      </c>
      <c r="C27" s="7" t="s">
        <v>572</v>
      </c>
      <c r="D27" s="45" t="s">
        <v>573</v>
      </c>
    </row>
    <row r="28" customFormat="false" ht="14.25" hidden="false" customHeight="true" outlineLevel="0" collapsed="false">
      <c r="A28" s="7" t="s">
        <v>574</v>
      </c>
      <c r="B28" s="7" t="s">
        <v>575</v>
      </c>
      <c r="C28" s="7" t="s">
        <v>576</v>
      </c>
      <c r="D28" s="45" t="s">
        <v>577</v>
      </c>
    </row>
    <row r="29" customFormat="false" ht="14.25" hidden="false" customHeight="true" outlineLevel="0" collapsed="false">
      <c r="A29" s="7" t="s">
        <v>578</v>
      </c>
      <c r="B29" s="7" t="s">
        <v>579</v>
      </c>
      <c r="C29" s="7" t="s">
        <v>580</v>
      </c>
      <c r="D29" s="45" t="s">
        <v>581</v>
      </c>
    </row>
    <row r="30" customFormat="false" ht="27.75" hidden="false" customHeight="true" outlineLevel="0" collapsed="false">
      <c r="A30" s="7" t="s">
        <v>582</v>
      </c>
      <c r="B30" s="7" t="s">
        <v>583</v>
      </c>
      <c r="C30" s="7" t="s">
        <v>584</v>
      </c>
      <c r="D30" s="45" t="s">
        <v>585</v>
      </c>
    </row>
    <row r="31" customFormat="false" ht="27.75" hidden="false" customHeight="true" outlineLevel="0" collapsed="false">
      <c r="A31" s="7" t="s">
        <v>586</v>
      </c>
      <c r="B31" s="7" t="s">
        <v>587</v>
      </c>
      <c r="C31" s="7" t="s">
        <v>588</v>
      </c>
      <c r="D31" s="45" t="s">
        <v>589</v>
      </c>
    </row>
    <row r="32" customFormat="false" ht="27.75" hidden="false" customHeight="true" outlineLevel="0" collapsed="false">
      <c r="A32" s="7" t="s">
        <v>590</v>
      </c>
      <c r="B32" s="7" t="s">
        <v>591</v>
      </c>
      <c r="C32" s="7" t="s">
        <v>592</v>
      </c>
      <c r="D32" s="45" t="s">
        <v>593</v>
      </c>
    </row>
    <row r="33" customFormat="false" ht="27.75" hidden="false" customHeight="true" outlineLevel="0" collapsed="false">
      <c r="A33" s="7" t="s">
        <v>594</v>
      </c>
      <c r="B33" s="7" t="s">
        <v>595</v>
      </c>
      <c r="C33" s="7" t="s">
        <v>596</v>
      </c>
      <c r="D33" s="45" t="s">
        <v>597</v>
      </c>
    </row>
    <row r="34" customFormat="false" ht="28.5" hidden="false" customHeight="true" outlineLevel="0" collapsed="false">
      <c r="A34" s="7" t="s">
        <v>598</v>
      </c>
      <c r="B34" s="7" t="s">
        <v>599</v>
      </c>
      <c r="C34" s="7" t="s">
        <v>600</v>
      </c>
      <c r="D34" s="45" t="s">
        <v>601</v>
      </c>
    </row>
    <row r="35" customFormat="false" ht="14.25" hidden="false" customHeight="true" outlineLevel="0" collapsed="false">
      <c r="A35" s="7" t="s">
        <v>602</v>
      </c>
      <c r="B35" s="7" t="s">
        <v>603</v>
      </c>
      <c r="C35" s="7" t="s">
        <v>604</v>
      </c>
      <c r="D35" s="45" t="s">
        <v>605</v>
      </c>
    </row>
    <row r="36" customFormat="false" ht="28.5" hidden="false" customHeight="true" outlineLevel="0" collapsed="false">
      <c r="A36" s="7" t="s">
        <v>606</v>
      </c>
      <c r="B36" s="7" t="s">
        <v>607</v>
      </c>
      <c r="C36" s="7" t="s">
        <v>608</v>
      </c>
      <c r="D36" s="45" t="s">
        <v>609</v>
      </c>
    </row>
    <row r="37" customFormat="false" ht="28.5" hidden="false" customHeight="true" outlineLevel="0" collapsed="false">
      <c r="A37" s="7" t="s">
        <v>610</v>
      </c>
      <c r="B37" s="7" t="s">
        <v>611</v>
      </c>
      <c r="C37" s="7" t="s">
        <v>612</v>
      </c>
      <c r="D37" s="45" t="s">
        <v>613</v>
      </c>
    </row>
    <row r="38" customFormat="false" ht="28.5" hidden="false" customHeight="true" outlineLevel="0" collapsed="false">
      <c r="A38" s="7" t="s">
        <v>614</v>
      </c>
      <c r="B38" s="7" t="s">
        <v>615</v>
      </c>
      <c r="C38" s="7" t="s">
        <v>616</v>
      </c>
      <c r="D38" s="45" t="s">
        <v>505</v>
      </c>
    </row>
    <row r="39" customFormat="false" ht="14.25" hidden="false" customHeight="true" outlineLevel="0" collapsed="false">
      <c r="A39" s="7" t="s">
        <v>617</v>
      </c>
      <c r="B39" s="7" t="s">
        <v>618</v>
      </c>
      <c r="C39" s="7" t="s">
        <v>619</v>
      </c>
      <c r="D39" s="45" t="s">
        <v>620</v>
      </c>
    </row>
    <row r="40" customFormat="false" ht="28.5" hidden="false" customHeight="true" outlineLevel="0" collapsed="false">
      <c r="A40" s="7" t="s">
        <v>621</v>
      </c>
      <c r="B40" s="7" t="s">
        <v>622</v>
      </c>
      <c r="C40" s="7" t="s">
        <v>623</v>
      </c>
      <c r="D40" s="45" t="s">
        <v>624</v>
      </c>
    </row>
    <row r="41" customFormat="false" ht="28.5" hidden="false" customHeight="true" outlineLevel="0" collapsed="false">
      <c r="A41" s="7" t="s">
        <v>625</v>
      </c>
      <c r="B41" s="7" t="s">
        <v>626</v>
      </c>
      <c r="C41" s="7" t="s">
        <v>627</v>
      </c>
      <c r="D41" s="45" t="s">
        <v>628</v>
      </c>
    </row>
    <row r="42" customFormat="false" ht="28.5" hidden="false" customHeight="true" outlineLevel="0" collapsed="false">
      <c r="A42" s="7" t="s">
        <v>629</v>
      </c>
      <c r="B42" s="7" t="s">
        <v>630</v>
      </c>
      <c r="C42" s="7" t="s">
        <v>631</v>
      </c>
      <c r="D42" s="45" t="s">
        <v>632</v>
      </c>
    </row>
    <row r="43" customFormat="false" ht="42.75" hidden="false" customHeight="true" outlineLevel="0" collapsed="false">
      <c r="A43" s="7" t="s">
        <v>633</v>
      </c>
      <c r="B43" s="7" t="s">
        <v>634</v>
      </c>
      <c r="C43" s="7" t="s">
        <v>635</v>
      </c>
      <c r="D43" s="45" t="s">
        <v>636</v>
      </c>
    </row>
    <row r="44" customFormat="false" ht="27.75" hidden="false" customHeight="true" outlineLevel="0" collapsed="false">
      <c r="A44" s="7" t="s">
        <v>637</v>
      </c>
      <c r="B44" s="7" t="s">
        <v>638</v>
      </c>
      <c r="C44" s="7" t="s">
        <v>635</v>
      </c>
      <c r="D44" s="45" t="s">
        <v>639</v>
      </c>
    </row>
    <row r="45" customFormat="false" ht="27.75" hidden="false" customHeight="true" outlineLevel="0" collapsed="false">
      <c r="A45" s="7" t="s">
        <v>640</v>
      </c>
      <c r="B45" s="7" t="s">
        <v>641</v>
      </c>
      <c r="C45" s="7" t="s">
        <v>642</v>
      </c>
      <c r="D45" s="45" t="s">
        <v>643</v>
      </c>
    </row>
    <row r="46" customFormat="false" ht="28.5" hidden="false" customHeight="true" outlineLevel="0" collapsed="false">
      <c r="A46" s="7" t="s">
        <v>644</v>
      </c>
      <c r="B46" s="7" t="s">
        <v>645</v>
      </c>
      <c r="C46" s="7" t="s">
        <v>646</v>
      </c>
      <c r="D46" s="45" t="s">
        <v>647</v>
      </c>
    </row>
    <row r="47" customFormat="false" ht="55.2" hidden="false" customHeight="false" outlineLevel="0" collapsed="false">
      <c r="A47" s="7" t="s">
        <v>648</v>
      </c>
      <c r="B47" s="7" t="s">
        <v>649</v>
      </c>
      <c r="C47" s="7" t="s">
        <v>650</v>
      </c>
      <c r="D47" s="7" t="s">
        <v>541</v>
      </c>
    </row>
    <row r="48" customFormat="false" ht="28.35" hidden="false" customHeight="false" outlineLevel="0" collapsed="false">
      <c r="A48" s="7" t="s">
        <v>651</v>
      </c>
      <c r="B48" s="7" t="s">
        <v>652</v>
      </c>
      <c r="C48" s="7" t="s">
        <v>653</v>
      </c>
      <c r="D48" s="45" t="s">
        <v>654</v>
      </c>
    </row>
    <row r="49" customFormat="false" ht="28.35" hidden="false" customHeight="false" outlineLevel="0" collapsed="false">
      <c r="A49" s="7" t="s">
        <v>655</v>
      </c>
      <c r="B49" s="7" t="s">
        <v>656</v>
      </c>
      <c r="C49" s="7" t="s">
        <v>653</v>
      </c>
      <c r="D49" s="45" t="s">
        <v>657</v>
      </c>
    </row>
    <row r="50" customFormat="false" ht="28.35" hidden="false" customHeight="false" outlineLevel="0" collapsed="false">
      <c r="A50" s="7" t="s">
        <v>658</v>
      </c>
      <c r="B50" s="7" t="s">
        <v>659</v>
      </c>
      <c r="C50" s="7" t="s">
        <v>660</v>
      </c>
      <c r="D50" s="45" t="s">
        <v>661</v>
      </c>
    </row>
    <row r="51" customFormat="false" ht="28.35" hidden="false" customHeight="false" outlineLevel="0" collapsed="false">
      <c r="A51" s="7" t="s">
        <v>662</v>
      </c>
      <c r="B51" s="7" t="s">
        <v>663</v>
      </c>
      <c r="C51" s="7" t="s">
        <v>664</v>
      </c>
      <c r="D51" s="45" t="s">
        <v>665</v>
      </c>
    </row>
    <row r="1048576" customFormat="false" ht="12.8" hidden="false" customHeight="false" outlineLevel="0" collapsed="false"/>
  </sheetData>
  <hyperlinks>
    <hyperlink ref="D2" r:id="rId1" display="https://t-j.ru/demography-moscow/"/>
    <hyperlink ref="D3" r:id="rId2" display="https://www.rbc.ru/industries/news/68623d939a79476674ac20ba"/>
    <hyperlink ref="D4" r:id="rId3" display="https://www.kommersant.ru/doc/5502865"/>
    <hyperlink ref="D5" r:id="rId4" display="https://sberanalytics.ru/researches/beauty-and-fashion-spendings"/>
    <hyperlink ref="D6" r:id="rId5" display="https://finance.mail.ru/article/zhiteli-moskvyi-v-srednem-tratyat-13-tyis-rublej-v-mesyats-na-byuti-protseduryi-69201863/"/>
    <hyperlink ref="D7" r:id="rId6" display="https://webgard.ru/blog/biznes/yclients/"/>
    <hyperlink ref="D8" r:id="rId7" display="https://helmepro.ru/stati/profi-ru-dlya-ispolniteley/"/>
    <hyperlink ref="D9" r:id="rId8" display="https://iom.anketolog.ru/2021/05/04/parikmaherskie"/>
    <hyperlink ref="D10" r:id="rId9" display="https://www.consultant.ru/document/cons_doc_LAW_28165/"/>
    <hyperlink ref="D11" r:id="rId10" display="https://www.pmi.org/learning/library/accurate-estimates-20-percent-solution-9805"/>
    <hyperlink ref="D12" r:id="rId11" display="https://blog.click.ru/analytics/issledovanie-klyuchevyh-pokazateley-internet-reklamy/"/>
    <hyperlink ref="D13" r:id="rId12" display="https://vc.ru/marketing/1139929-keis-target-vk-dlya-studii-manikyura-369-zayavok-po-313-v-pitere"/>
    <hyperlink ref="D14" r:id="rId13" display="https://elama.ru/blog/vse-chto-nuzhno-znat-o-cpm-v-telegram-ads/"/>
    <hyperlink ref="D15" r:id="rId14" display="https://ppt.ru/currencies/eur/04-10-2026"/>
    <hyperlink ref="D16" r:id="rId15" display="https://www.unisender.com/ru/blog/skolko-stoit-reklama-v-telegram/"/>
    <hyperlink ref="D17" r:id="rId16" display="https://workspace.ru/blog/skolko-stoit-reklama-u-blogerov-v-2026-godu-ceny-i-kak-ne-pereplatit/"/>
    <hyperlink ref="D18" r:id="rId17" display="https://skillbox.ru/media/marketing/rukovodstvo-po-reklame-na-yandeks-kartakh-kak-ona-rabotaet-skolko-stoit-i-kak-nastroit/"/>
    <hyperlink ref="D21" r:id="rId18" display="https://habr.com/ru/companies/habr_career/articles/1075936/"/>
    <hyperlink ref="D22" r:id="rId19" display="https://habr.com/ru/companies/habr_career/articles/1083850/"/>
    <hyperlink ref="D23" r:id="rId20" display="https://quick-offer.ru/news/ux-ui-designers-salary"/>
    <hyperlink ref="D24" r:id="rId21" display="https://www.purrweb.com/ru/blog/stoimost-razrabotki-mvp/"/>
    <hyperlink ref="D25" r:id="rId22" display="https://belyaevartemg-sudo.github.io/ritm/"/>
    <hyperlink ref="D26" r:id="rId23" display="https://edana.ch/en/2026/01/03/estimating-software-maintenance-costs-the-forgotten-key-to-total-cost-of-ownership/"/>
    <hyperlink ref="D27" r:id="rId24" display="https://timeweb.cloud/services/vds-vps"/>
    <hyperlink ref="D28" r:id="rId25" display="https://timeweb.cloud/services/s3-storage"/>
    <hyperlink ref="D29" r:id="rId26" display="https://hh.ru/vacancy/135858138"/>
    <hyperlink ref="D30" r:id="rId27" display="https://hh.ru/vacancy/135983851"/>
    <hyperlink ref="D31" r:id="rId28" display="https://www.sravni.ru/biznes-accounting/ooo-usn/"/>
    <hyperlink ref="D32" r:id="rId29" display="https://tproger.ru/articles/12-luchwih-servisov-rassylki-sms-v-2026-godu"/>
    <hyperlink ref="D33" r:id="rId30" display="https://visionary-marketing.co.uk/blog/saas-free-trial-conversion-statistics-2026"/>
    <hyperlink ref="D34" r:id="rId31" display="https://www.saastr.com/which-is-the-churn-benchmark-for-saas"/>
    <hyperlink ref="D35" r:id="rId32" display="https://www.kommersant.ru/doc/8637271"/>
    <hyperlink ref="D36" r:id="rId33" display="https://crmindex.ru/blog/rukovodstvo-dlya-salonov-krasoty-ot-crm-arnika"/>
    <hyperlink ref="D37" r:id="rId34" display="https://quasa.io/ru/media/yukassa-ili-cloudpayments-podpiski-menyayut-vybor-platezhnogo-servisa"/>
    <hyperlink ref="D38" r:id="rId35" display="https://www.consultant.ru/document/cons_doc_LAW_28165/"/>
    <hyperlink ref="D39" r:id="rId36" display="https://www.fl.ru/uslugi-freelancera/20725/sostavlyu-politiku-konfidencialnosti-dlya-sayta-po-trebovaniyam-152-fz.html"/>
    <hyperlink ref="D40" r:id="rId37" display="https://www.mckinsey.com/featured-insights/week-in-charts/a-coding-boost-from-ai"/>
    <hyperlink ref="D41" r:id="rId38" display="https://arxiv.org/abs/2302.06590"/>
    <hyperlink ref="D42" r:id="rId39" display="https://metr.org/blog/2025-07-10-early-2025-ai-experienced-os-dev-study/"/>
    <hyperlink ref="D43" r:id="rId40" display="https://growsurf.com/statistics/saas-referral-statistics/"/>
    <hyperlink ref="D44" r:id="rId41" display="https://www.saastr.com/what-percentage-of-sales-in-a-saas-startup-should-come-from-referrals"/>
    <hyperlink ref="D45" r:id="rId42" display="https://doi.org/10.1287/mnsc.15.5.215"/>
    <hyperlink ref="D46" r:id="rId43" display="https://pressstartdigital.ru/articles/target-vk-business.html"/>
    <hyperlink ref="D48" r:id="rId44" display="https://www.cnews.ru/news/line/2026-03-19_kazhdyj_tretij_ispolnitel"/>
    <hyperlink ref="D49" r:id="rId45" display="https://spbdnevnik.ru/news/2026-03-25/pochti-kazhdyy-vtoroy-ispolnitel-v-sankt-peterburge-nakhodit-klientov-cherez-avito"/>
    <hyperlink ref="D50" r:id="rId46" display="https://saby.ru/articles/accounting/limity_i_stavki_usn"/>
    <hyperlink ref="D51" r:id="rId47" display="https://spmag.ru/news/usn-porog-vyruchki-dlya-osvobozhdeniya-ot-nds-mogut-sohran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2026-10-16T22:14:21Z</dcterms:created>
  <dc:creator>openpyxl</dc:creator>
  <dc:description/>
  <dc:language>en-US</dc:language>
  <cp:lastModifiedBy/>
  <dcterms:modified xsi:type="dcterms:W3CDTF">2026-10-18T14:12:22Z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